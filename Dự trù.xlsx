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ự trù từ Sales" sheetId="1" r:id="rId5"/>
    <sheet state="visible" name="Dự trù" sheetId="2" r:id="rId6"/>
    <sheet state="visible" name="Đặt hàng" sheetId="3" r:id="rId7"/>
    <sheet state="visible" name="Nhập khẩu" sheetId="4" r:id="rId8"/>
    <sheet state="visible" name="Nhập kho" sheetId="5" r:id="rId9"/>
    <sheet state="visible" name="Đơn vị vận chuyển" sheetId="6" r:id="rId10"/>
  </sheets>
  <definedNames/>
  <calcPr/>
</workbook>
</file>

<file path=xl/sharedStrings.xml><?xml version="1.0" encoding="utf-8"?>
<sst xmlns="http://schemas.openxmlformats.org/spreadsheetml/2006/main" count="450" uniqueCount="147">
  <si>
    <t>Tên sản phẩm cần dự trù - ngày yêu cầu dự trù</t>
  </si>
  <si>
    <t>STT</t>
  </si>
  <si>
    <t>Code hàng</t>
  </si>
  <si>
    <t>Tên hàng</t>
  </si>
  <si>
    <t>Hãng sản xuất - Sales không ghi</t>
  </si>
  <si>
    <t>Quy cách đóng gói</t>
  </si>
  <si>
    <t>Đơn vị tính</t>
  </si>
  <si>
    <t>Số lượng</t>
  </si>
  <si>
    <t>Sales/Viện</t>
  </si>
  <si>
    <r>
      <rPr>
        <rFont val="Arial"/>
        <b/>
        <color theme="1"/>
        <sz val="16.0"/>
      </rPr>
      <t>L</t>
    </r>
    <r>
      <rPr>
        <rFont val="Arial"/>
        <b/>
        <color theme="1"/>
        <sz val="14.0"/>
      </rPr>
      <t>ƯỚT XUỐNG DƯỚI ĐỂ TÌM ĐÚNG BẢNG: Tên sản phẩm cần dự trù - ngày yêu cầu dự trù</t>
    </r>
  </si>
  <si>
    <t>A. Thái</t>
  </si>
  <si>
    <t>A. Phương</t>
  </si>
  <si>
    <t>A. Hoàng</t>
  </si>
  <si>
    <t>A.Cao</t>
  </si>
  <si>
    <t>abcd</t>
  </si>
  <si>
    <t>BVĐK Quang Khởi</t>
  </si>
  <si>
    <t>abcd1</t>
  </si>
  <si>
    <t>Bệnh viện Nhi Hải Phòng</t>
  </si>
  <si>
    <t>abcd2</t>
  </si>
  <si>
    <t>BV ĐK Vĩnh Long</t>
  </si>
  <si>
    <t>abcd3</t>
  </si>
  <si>
    <t>abcd4</t>
  </si>
  <si>
    <t>Gia Lai</t>
  </si>
  <si>
    <t>Hãng sản xuất</t>
  </si>
  <si>
    <t>Tổng số lượng</t>
  </si>
  <si>
    <t>Tồn kho</t>
  </si>
  <si>
    <t>Dự trù tính toán</t>
  </si>
  <si>
    <t>Dự trù thực tế - CHỐT ĐẶT HÀNG</t>
  </si>
  <si>
    <t>Hàng kháng sinh đồ - 20/01/2026</t>
  </si>
  <si>
    <t>ME0101</t>
  </si>
  <si>
    <t>Gram Positive bacteria ID/AST</t>
  </si>
  <si>
    <t>Autobio Diagnostics Co., Ltd</t>
  </si>
  <si>
    <t>Hộp 10 test</t>
  </si>
  <si>
    <t>Hộp</t>
  </si>
  <si>
    <t>MD0101</t>
  </si>
  <si>
    <t>Non-Fermenting bacteria AST</t>
  </si>
  <si>
    <t>MD0501</t>
  </si>
  <si>
    <t>Enterobacteriaceae AST</t>
  </si>
  <si>
    <t>MD0201</t>
  </si>
  <si>
    <t>Streptococcus AST</t>
  </si>
  <si>
    <t>MD0401</t>
  </si>
  <si>
    <t>Fungus AST</t>
  </si>
  <si>
    <t>MG0102</t>
  </si>
  <si>
    <t>2#Tip</t>
  </si>
  <si>
    <t>Autobio Labtec</t>
  </si>
  <si>
    <t>30 cái /hộp</t>
  </si>
  <si>
    <t>CHO VÀO BA26-3</t>
  </si>
  <si>
    <t>ME0202</t>
  </si>
  <si>
    <t>Gram Negative bacteria ID/AST</t>
  </si>
  <si>
    <t>Hộp 20 test</t>
  </si>
  <si>
    <t>ME0102</t>
  </si>
  <si>
    <t>Đĩa mục tiêu</t>
  </si>
  <si>
    <t>Hộp 5 thẻ</t>
  </si>
  <si>
    <t>MSA02</t>
  </si>
  <si>
    <t>Calib</t>
  </si>
  <si>
    <t>80T</t>
  </si>
  <si>
    <t>MSA03</t>
  </si>
  <si>
    <t>CHCA</t>
  </si>
  <si>
    <t>4 Bottles(IVDR)</t>
  </si>
  <si>
    <t>MD0402</t>
  </si>
  <si>
    <t>MD0202</t>
  </si>
  <si>
    <t>ME0302</t>
  </si>
  <si>
    <t>YEAST ID/AST</t>
  </si>
  <si>
    <t>MD0302</t>
  </si>
  <si>
    <t>Gram-positive bacteria AST</t>
  </si>
  <si>
    <t>Hàng kháng sinh đồ - 22/01/2026</t>
  </si>
  <si>
    <t>MD0502</t>
  </si>
  <si>
    <t>MD0102</t>
  </si>
  <si>
    <t>Non-fermenting bacteria AST</t>
  </si>
  <si>
    <t>Mã đơn hàng - ngày</t>
  </si>
  <si>
    <t>PICK NGAY - Số lượng</t>
  </si>
  <si>
    <t>BACKORDER - Số lượng</t>
  </si>
  <si>
    <t>NOTE</t>
  </si>
  <si>
    <t>Ví dụ: Cho vào đơn sau, thì phải nhập liệu mã này, số lượng này vào đơn sau</t>
  </si>
  <si>
    <t>BA 25-15 - 13/01/2026</t>
  </si>
  <si>
    <t>10tests</t>
  </si>
  <si>
    <t>ME0201</t>
  </si>
  <si>
    <t>20tests</t>
  </si>
  <si>
    <t>ME0301</t>
  </si>
  <si>
    <t>10T</t>
  </si>
  <si>
    <t>MSA01</t>
  </si>
  <si>
    <t>Sample Pretreatment Reagent</t>
  </si>
  <si>
    <t>100tests(IVDR)</t>
  </si>
  <si>
    <t>Calibrator for use with AUTOF MS</t>
  </si>
  <si>
    <t>CHCA Matrix for use with AUTOF MS</t>
  </si>
  <si>
    <t>BA 26-01 - 20/01/2026</t>
  </si>
  <si>
    <t>ME0202 - Gram Negative bacteria ID/AST - 5/3 mới có hàng</t>
  </si>
  <si>
    <t>20T</t>
  </si>
  <si>
    <t>Gram Positive bacteria AST</t>
  </si>
  <si>
    <t>BA 26-04 - 22/01/2026</t>
  </si>
  <si>
    <t>MD0502 - Enterobacteriaceae AST - CHƯA CÓ KẾ HOẠCH SẢN XUẤT</t>
  </si>
  <si>
    <t>PTN – Phiếu tiếp nhận</t>
  </si>
  <si>
    <t>Phân loại</t>
  </si>
  <si>
    <t>Packing List</t>
  </si>
  <si>
    <t>Bill of lading</t>
  </si>
  <si>
    <t>Hóa đơn cước vận chuyển</t>
  </si>
  <si>
    <t>Thông báo hang đến</t>
  </si>
  <si>
    <t>Commercial Invoice</t>
  </si>
  <si>
    <t>Nếu bên khác công bố phân loại thì thêm ủy quyền</t>
  </si>
  <si>
    <t>THÔNG TIN SHIPMENTS:</t>
  </si>
  <si>
    <t>Trạng thái</t>
  </si>
  <si>
    <t>PI NO.</t>
  </si>
  <si>
    <t>Mã bill
MAWB No.</t>
  </si>
  <si>
    <t>Số hiệu chuyến bay</t>
  </si>
  <si>
    <t>Tên</t>
  </si>
  <si>
    <t>GIÁ</t>
  </si>
  <si>
    <t>Đơn vị báo giá</t>
  </si>
  <si>
    <t>Ngày gửi hàng</t>
  </si>
  <si>
    <t>Dự kiến ngày tới</t>
  </si>
  <si>
    <t>Thực tế ngày tới</t>
  </si>
  <si>
    <t>Số kiện</t>
  </si>
  <si>
    <t>G.W. (Total KG)</t>
  </si>
  <si>
    <t>In Transit</t>
  </si>
  <si>
    <t>KHL-MT-20251212</t>
  </si>
  <si>
    <t>784-41877146</t>
  </si>
  <si>
    <t>CZ8177</t>
  </si>
  <si>
    <t>Máy đọc Elisa - ST-360 Microplate Reader
Máy rửa Elisa - ST-36W Microplate Washer</t>
  </si>
  <si>
    <t>AIR A ĐIỆP</t>
  </si>
  <si>
    <t>24/12/2025</t>
  </si>
  <si>
    <t>27/12/2025</t>
  </si>
  <si>
    <t>2 set
2 set</t>
  </si>
  <si>
    <t>BA26-04</t>
  </si>
  <si>
    <t>888-60665001</t>
  </si>
  <si>
    <t>JD647</t>
  </si>
  <si>
    <t>AST CARD</t>
  </si>
  <si>
    <t>$1780</t>
  </si>
  <si>
    <t>Autobio</t>
  </si>
  <si>
    <t>50 cartons</t>
  </si>
  <si>
    <t xml:space="preserve">BA26-04 </t>
  </si>
  <si>
    <t>CX051
CX741</t>
  </si>
  <si>
    <t>dangerous goods</t>
  </si>
  <si>
    <t>$620</t>
  </si>
  <si>
    <t>2 cartons</t>
  </si>
  <si>
    <t>máy đo độ đục</t>
  </si>
  <si>
    <t>SF0252788211653</t>
  </si>
  <si>
    <t>Hàng vẫn đang ở tq</t>
  </si>
  <si>
    <t>IN PKL - KIỂM HÀNG</t>
  </si>
  <si>
    <t>Tên đơn vị vận chuyển</t>
  </si>
  <si>
    <t>SDT</t>
  </si>
  <si>
    <t>Người liên hệ</t>
  </si>
  <si>
    <t>Hợp đồng, chứng từ yêu cầu</t>
  </si>
  <si>
    <t>Chuyên tuyến</t>
  </si>
  <si>
    <t>Đơn hàng cần vận chuyển 1</t>
  </si>
  <si>
    <t>Tốc độ phản hồi - tương tác</t>
  </si>
  <si>
    <t>Giá</t>
  </si>
  <si>
    <t>Độ tin cậy - Đúng hẹn</t>
  </si>
  <si>
    <t>Mức độ phù hợp</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</si>
</sst>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dd&quot;-&quot;mmm&quot;-&quot;yyyy"/>
    <numFmt numFmtId="166" formatCode="dd/mm/yyyy"/>
  </numFmts>
  <fonts count="12">
    <font>
      <sz val="10.0"/>
      <color rgb="FF000000"/>
      <name val="Arial"/>
      <scheme val="minor"/>
    </font>
    <font>
      <b/>
      <color theme="1"/>
      <name val="Arial"/>
      <scheme val="minor"/>
    </font>
    <font/>
    <font>
      <color theme="1"/>
      <name val="Arial"/>
      <scheme val="minor"/>
    </font>
    <font>
      <b/>
      <sz val="16.0"/>
      <color theme="1"/>
      <name val="Arial"/>
      <scheme val="minor"/>
    </font>
    <font>
      <color theme="1"/>
      <name val="Arial"/>
    </font>
    <font>
      <b/>
      <color rgb="FFFF0000"/>
      <name val="Arial"/>
      <scheme val="minor"/>
    </font>
    <font>
      <sz val="11.0"/>
      <color rgb="FF000000"/>
      <name val="&quot;Times New Roman&quot;"/>
    </font>
    <font>
      <b/>
      <sz val="11.0"/>
      <color rgb="FF000000"/>
      <name val="&quot;Times New Roman&quot;"/>
    </font>
    <font>
      <b/>
      <sz val="20.0"/>
      <color theme="1"/>
      <name val="Arial"/>
      <scheme val="minor"/>
    </font>
    <font>
      <b/>
      <color theme="1"/>
      <name val="Comfortaa"/>
    </font>
    <font>
      <color theme="1"/>
      <name val="Comfortaa"/>
    </font>
  </fonts>
  <fills count="9">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FFF2CC"/>
        <bgColor rgb="FFFFF2CC"/>
      </patternFill>
    </fill>
    <fill>
      <patternFill patternType="solid">
        <fgColor rgb="FFFFFFFF"/>
        <bgColor rgb="FFFFFFFF"/>
      </patternFill>
    </fill>
    <fill>
      <patternFill patternType="solid">
        <fgColor rgb="FF999999"/>
        <bgColor rgb="FF999999"/>
      </patternFill>
    </fill>
    <fill>
      <patternFill patternType="solid">
        <fgColor rgb="FFFFC19F"/>
        <bgColor rgb="FFFFC19F"/>
      </patternFill>
    </fill>
  </fills>
  <borders count="19">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ck">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bottom style="thick">
        <color rgb="FF000000"/>
      </bottom>
    </border>
    <border>
      <left style="thin">
        <color rgb="FF000000"/>
      </left>
    </border>
    <border>
      <left style="thin">
        <color rgb="FF000000"/>
      </left>
      <top style="thin">
        <color rgb="FF000000"/>
      </top>
    </border>
    <border>
      <left style="thin">
        <color rgb="FF000000"/>
      </left>
      <bottom style="thin">
        <color rgb="FF000000"/>
      </bottom>
    </border>
    <border>
      <top style="thin">
        <color rgb="FFFF7327"/>
      </top>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xf>
    <xf borderId="3" fillId="0" fontId="2" numFmtId="0" xfId="0" applyBorder="1" applyFont="1"/>
    <xf borderId="4" fillId="0" fontId="2" numFmtId="0" xfId="0" applyBorder="1" applyFont="1"/>
    <xf borderId="5" fillId="0" fontId="3" numFmtId="0" xfId="0" applyBorder="1" applyFont="1"/>
    <xf borderId="0" fillId="0" fontId="4" numFmtId="0" xfId="0" applyAlignment="1" applyFont="1">
      <alignment readingOrder="0" shrinkToFit="0" vertical="center" wrapText="1"/>
    </xf>
    <xf borderId="6" fillId="0" fontId="2" numFmtId="0" xfId="0" applyBorder="1" applyFont="1"/>
    <xf borderId="7" fillId="2" fontId="1" numFmtId="0" xfId="0" applyAlignment="1" applyBorder="1" applyFill="1" applyFont="1">
      <alignment horizontal="center" readingOrder="0"/>
    </xf>
    <xf borderId="7" fillId="3" fontId="1" numFmtId="0" xfId="0" applyAlignment="1" applyBorder="1" applyFill="1" applyFont="1">
      <alignment horizontal="center" readingOrder="0"/>
    </xf>
    <xf borderId="7" fillId="4" fontId="1" numFmtId="0" xfId="0" applyAlignment="1" applyBorder="1" applyFill="1" applyFont="1">
      <alignment horizontal="center" readingOrder="0"/>
    </xf>
    <xf borderId="7" fillId="5" fontId="1" numFmtId="0" xfId="0" applyAlignment="1" applyBorder="1" applyFill="1" applyFont="1">
      <alignment horizontal="center" readingOrder="0"/>
    </xf>
    <xf borderId="1" fillId="2" fontId="3" numFmtId="0" xfId="0" applyAlignment="1" applyBorder="1" applyFont="1">
      <alignment horizontal="left" readingOrder="0" vertical="center"/>
    </xf>
    <xf borderId="8" fillId="2" fontId="3" numFmtId="0" xfId="0" applyAlignment="1" applyBorder="1" applyFont="1">
      <alignment horizontal="left" readingOrder="0" vertical="center"/>
    </xf>
    <xf borderId="9" fillId="2" fontId="3" numFmtId="0" xfId="0" applyAlignment="1" applyBorder="1" applyFont="1">
      <alignment horizontal="center" readingOrder="0" vertical="center"/>
    </xf>
    <xf borderId="9" fillId="0" fontId="3" numFmtId="0" xfId="0" applyAlignment="1" applyBorder="1" applyFont="1">
      <alignment horizontal="center" readingOrder="0"/>
    </xf>
    <xf borderId="8" fillId="0" fontId="3" numFmtId="0" xfId="0" applyBorder="1" applyFont="1"/>
    <xf borderId="10" fillId="2" fontId="3" numFmtId="0" xfId="0" applyAlignment="1" applyBorder="1" applyFont="1">
      <alignment horizontal="left" readingOrder="0"/>
    </xf>
    <xf borderId="11" fillId="2" fontId="3" numFmtId="0" xfId="0" applyAlignment="1" applyBorder="1" applyFont="1">
      <alignment horizontal="left" readingOrder="0"/>
    </xf>
    <xf borderId="0" fillId="2" fontId="3" numFmtId="0" xfId="0" applyAlignment="1" applyFont="1">
      <alignment horizontal="center" readingOrder="0" vertical="center"/>
    </xf>
    <xf borderId="0" fillId="0" fontId="3" numFmtId="0" xfId="0" applyAlignment="1" applyFont="1">
      <alignment horizontal="center" readingOrder="0"/>
    </xf>
    <xf borderId="11" fillId="0" fontId="3" numFmtId="0" xfId="0" applyBorder="1" applyFont="1"/>
    <xf borderId="6" fillId="2" fontId="3" numFmtId="0" xfId="0" applyAlignment="1" applyBorder="1" applyFont="1">
      <alignment horizontal="left"/>
    </xf>
    <xf borderId="6" fillId="2" fontId="3" numFmtId="0" xfId="0" applyAlignment="1" applyBorder="1" applyFont="1">
      <alignment horizontal="left" readingOrder="0"/>
    </xf>
    <xf borderId="12" fillId="2" fontId="3" numFmtId="0" xfId="0" applyAlignment="1" applyBorder="1" applyFont="1">
      <alignment horizontal="left" readingOrder="0"/>
    </xf>
    <xf borderId="13" fillId="2" fontId="3" numFmtId="0" xfId="0" applyAlignment="1" applyBorder="1" applyFont="1">
      <alignment horizontal="center" readingOrder="0" vertical="center"/>
    </xf>
    <xf borderId="13" fillId="0" fontId="3" numFmtId="0" xfId="0" applyAlignment="1" applyBorder="1" applyFont="1">
      <alignment horizontal="center" readingOrder="0"/>
    </xf>
    <xf borderId="12" fillId="0" fontId="3" numFmtId="0" xfId="0" applyBorder="1" applyFont="1"/>
    <xf borderId="1" fillId="3" fontId="3" numFmtId="0" xfId="0" applyAlignment="1" applyBorder="1" applyFont="1">
      <alignment horizontal="left"/>
    </xf>
    <xf borderId="1" fillId="3" fontId="3" numFmtId="0" xfId="0" applyAlignment="1" applyBorder="1" applyFont="1">
      <alignment horizontal="left" readingOrder="0"/>
    </xf>
    <xf borderId="8" fillId="3" fontId="3" numFmtId="0" xfId="0" applyAlignment="1" applyBorder="1" applyFont="1">
      <alignment horizontal="left" readingOrder="0"/>
    </xf>
    <xf borderId="9" fillId="3" fontId="3" numFmtId="0" xfId="0" applyBorder="1" applyFont="1"/>
    <xf borderId="9" fillId="3" fontId="3" numFmtId="0" xfId="0" applyAlignment="1" applyBorder="1" applyFont="1">
      <alignment horizontal="center" readingOrder="0"/>
    </xf>
    <xf borderId="9" fillId="0" fontId="3" numFmtId="0" xfId="0" applyBorder="1" applyFont="1"/>
    <xf borderId="10" fillId="3" fontId="3" numFmtId="0" xfId="0" applyAlignment="1" applyBorder="1" applyFont="1">
      <alignment horizontal="left"/>
    </xf>
    <xf borderId="10" fillId="3" fontId="3" numFmtId="0" xfId="0" applyAlignment="1" applyBorder="1" applyFont="1">
      <alignment horizontal="left" readingOrder="0"/>
    </xf>
    <xf borderId="11" fillId="3" fontId="3" numFmtId="0" xfId="0" applyAlignment="1" applyBorder="1" applyFont="1">
      <alignment horizontal="left" readingOrder="0"/>
    </xf>
    <xf borderId="0" fillId="3" fontId="3" numFmtId="0" xfId="0" applyFont="1"/>
    <xf borderId="0" fillId="3" fontId="3" numFmtId="0" xfId="0" applyAlignment="1" applyFont="1">
      <alignment horizontal="center" readingOrder="0"/>
    </xf>
    <xf borderId="6" fillId="3" fontId="3" numFmtId="0" xfId="0" applyAlignment="1" applyBorder="1" applyFont="1">
      <alignment horizontal="left"/>
    </xf>
    <xf borderId="6" fillId="3" fontId="3" numFmtId="0" xfId="0" applyAlignment="1" applyBorder="1" applyFont="1">
      <alignment horizontal="left" readingOrder="0"/>
    </xf>
    <xf borderId="12" fillId="3" fontId="3" numFmtId="0" xfId="0" applyAlignment="1" applyBorder="1" applyFont="1">
      <alignment horizontal="left" readingOrder="0"/>
    </xf>
    <xf borderId="13" fillId="3" fontId="3" numFmtId="0" xfId="0" applyBorder="1" applyFont="1"/>
    <xf borderId="13" fillId="3" fontId="3" numFmtId="0" xfId="0" applyAlignment="1" applyBorder="1" applyFont="1">
      <alignment horizontal="center" readingOrder="0"/>
    </xf>
    <xf borderId="13" fillId="0" fontId="3" numFmtId="0" xfId="0" applyBorder="1" applyFont="1"/>
    <xf borderId="1" fillId="4" fontId="3" numFmtId="0" xfId="0" applyAlignment="1" applyBorder="1" applyFont="1">
      <alignment horizontal="left"/>
    </xf>
    <xf borderId="1" fillId="4" fontId="3" numFmtId="0" xfId="0" applyAlignment="1" applyBorder="1" applyFont="1">
      <alignment horizontal="left" readingOrder="0"/>
    </xf>
    <xf borderId="8" fillId="4" fontId="3" numFmtId="0" xfId="0" applyAlignment="1" applyBorder="1" applyFont="1">
      <alignment horizontal="left" readingOrder="0"/>
    </xf>
    <xf borderId="9" fillId="4" fontId="3" numFmtId="0" xfId="0" applyBorder="1" applyFont="1"/>
    <xf borderId="9" fillId="4" fontId="3" numFmtId="0" xfId="0" applyAlignment="1" applyBorder="1" applyFont="1">
      <alignment horizontal="center" readingOrder="0"/>
    </xf>
    <xf borderId="10" fillId="4" fontId="3" numFmtId="0" xfId="0" applyAlignment="1" applyBorder="1" applyFont="1">
      <alignment horizontal="left"/>
    </xf>
    <xf borderId="10" fillId="4" fontId="3" numFmtId="0" xfId="0" applyAlignment="1" applyBorder="1" applyFont="1">
      <alignment horizontal="left" readingOrder="0"/>
    </xf>
    <xf borderId="11" fillId="4" fontId="3" numFmtId="0" xfId="0" applyAlignment="1" applyBorder="1" applyFont="1">
      <alignment horizontal="left" readingOrder="0"/>
    </xf>
    <xf borderId="0" fillId="4" fontId="3" numFmtId="0" xfId="0" applyFont="1"/>
    <xf borderId="0" fillId="4" fontId="3" numFmtId="0" xfId="0" applyAlignment="1" applyFont="1">
      <alignment horizontal="center" readingOrder="0"/>
    </xf>
    <xf borderId="6" fillId="4" fontId="3" numFmtId="0" xfId="0" applyAlignment="1" applyBorder="1" applyFont="1">
      <alignment horizontal="left"/>
    </xf>
    <xf borderId="6" fillId="4" fontId="3" numFmtId="0" xfId="0" applyAlignment="1" applyBorder="1" applyFont="1">
      <alignment horizontal="left" readingOrder="0"/>
    </xf>
    <xf borderId="12" fillId="4" fontId="3" numFmtId="0" xfId="0" applyAlignment="1" applyBorder="1" applyFont="1">
      <alignment horizontal="left" readingOrder="0"/>
    </xf>
    <xf borderId="13" fillId="4" fontId="3" numFmtId="0" xfId="0" applyBorder="1" applyFont="1"/>
    <xf borderId="13" fillId="4" fontId="3" numFmtId="0" xfId="0" applyAlignment="1" applyBorder="1" applyFont="1">
      <alignment horizontal="center" readingOrder="0"/>
    </xf>
    <xf borderId="1" fillId="5" fontId="3" numFmtId="0" xfId="0" applyAlignment="1" applyBorder="1" applyFont="1">
      <alignment horizontal="left"/>
    </xf>
    <xf borderId="1" fillId="5" fontId="3" numFmtId="0" xfId="0" applyAlignment="1" applyBorder="1" applyFont="1">
      <alignment horizontal="left" readingOrder="0"/>
    </xf>
    <xf borderId="8" fillId="5" fontId="3" numFmtId="0" xfId="0" applyAlignment="1" applyBorder="1" applyFont="1">
      <alignment horizontal="left" readingOrder="0"/>
    </xf>
    <xf borderId="0" fillId="5" fontId="3" numFmtId="0" xfId="0" applyFont="1"/>
    <xf borderId="11" fillId="5" fontId="5" numFmtId="0" xfId="0" applyAlignment="1" applyBorder="1" applyFont="1">
      <alignment vertical="bottom"/>
    </xf>
    <xf borderId="10" fillId="5" fontId="3" numFmtId="0" xfId="0" applyAlignment="1" applyBorder="1" applyFont="1">
      <alignment horizontal="left"/>
    </xf>
    <xf borderId="10" fillId="5" fontId="3" numFmtId="0" xfId="0" applyAlignment="1" applyBorder="1" applyFont="1">
      <alignment horizontal="left" readingOrder="0"/>
    </xf>
    <xf borderId="11" fillId="5" fontId="3" numFmtId="0" xfId="0" applyAlignment="1" applyBorder="1" applyFont="1">
      <alignment horizontal="left" readingOrder="0"/>
    </xf>
    <xf borderId="6" fillId="5" fontId="3" numFmtId="0" xfId="0" applyAlignment="1" applyBorder="1" applyFont="1">
      <alignment horizontal="left"/>
    </xf>
    <xf borderId="12" fillId="5" fontId="3" numFmtId="0" xfId="0" applyAlignment="1" applyBorder="1" applyFont="1">
      <alignment horizontal="left"/>
    </xf>
    <xf borderId="13" fillId="5" fontId="3" numFmtId="0" xfId="0" applyBorder="1" applyFont="1"/>
    <xf borderId="12" fillId="5" fontId="5" numFmtId="0" xfId="0" applyAlignment="1" applyBorder="1" applyFont="1">
      <alignment vertical="bottom"/>
    </xf>
    <xf borderId="0" fillId="0" fontId="5" numFmtId="0" xfId="0" applyAlignment="1" applyFont="1">
      <alignment vertical="bottom"/>
    </xf>
    <xf borderId="14" fillId="0" fontId="3" numFmtId="0" xfId="0" applyBorder="1" applyFont="1"/>
    <xf borderId="14" fillId="0" fontId="5" numFmtId="0" xfId="0" applyAlignment="1" applyBorder="1" applyFont="1">
      <alignment vertical="bottom"/>
    </xf>
    <xf borderId="8" fillId="0" fontId="6" numFmtId="0" xfId="0" applyAlignment="1" applyBorder="1" applyFont="1">
      <alignment horizontal="center" readingOrder="0" vertical="center"/>
    </xf>
    <xf borderId="1" fillId="0" fontId="6" numFmtId="0" xfId="0" applyAlignment="1" applyBorder="1" applyFont="1">
      <alignment horizontal="center" readingOrder="0" shrinkToFit="0" vertical="center" wrapText="1"/>
    </xf>
    <xf borderId="12" fillId="0" fontId="2" numFmtId="0" xfId="0" applyBorder="1" applyFont="1"/>
    <xf borderId="7" fillId="0" fontId="3" numFmtId="0" xfId="0" applyAlignment="1" applyBorder="1" applyFont="1">
      <alignment horizontal="center" readingOrder="0" vertical="center"/>
    </xf>
    <xf borderId="8" fillId="0" fontId="3" numFmtId="0" xfId="0" applyAlignment="1" applyBorder="1" applyFont="1">
      <alignment horizontal="center" readingOrder="0" vertical="center"/>
    </xf>
    <xf borderId="10" fillId="0" fontId="3" numFmtId="0" xfId="0" applyAlignment="1" applyBorder="1" applyFont="1">
      <alignment horizontal="center" readingOrder="0" vertical="center"/>
    </xf>
    <xf borderId="10" fillId="0" fontId="3" numFmtId="0" xfId="0" applyAlignment="1" applyBorder="1" applyFont="1">
      <alignment horizontal="center"/>
    </xf>
    <xf borderId="10" fillId="0" fontId="3" numFmtId="0" xfId="0" applyAlignment="1" applyBorder="1" applyFont="1">
      <alignment horizontal="center" readingOrder="0"/>
    </xf>
    <xf borderId="7" fillId="0" fontId="3" numFmtId="0" xfId="0" applyAlignment="1" applyBorder="1" applyFont="1">
      <alignment horizontal="center"/>
    </xf>
    <xf borderId="7" fillId="0" fontId="3" numFmtId="0" xfId="0" applyAlignment="1" applyBorder="1" applyFont="1">
      <alignment horizontal="center" readingOrder="0"/>
    </xf>
    <xf borderId="11" fillId="0" fontId="3" numFmtId="0" xfId="0" applyAlignment="1" applyBorder="1" applyFont="1">
      <alignment horizontal="center" readingOrder="0"/>
    </xf>
    <xf borderId="11" fillId="0" fontId="3" numFmtId="0" xfId="0" applyAlignment="1" applyBorder="1" applyFont="1">
      <alignment horizontal="center"/>
    </xf>
    <xf borderId="0" fillId="0" fontId="3" numFmtId="0" xfId="0" applyAlignment="1" applyFont="1">
      <alignment horizontal="center"/>
    </xf>
    <xf borderId="15" fillId="0" fontId="3" numFmtId="0" xfId="0" applyAlignment="1" applyBorder="1" applyFont="1">
      <alignment horizontal="center"/>
    </xf>
    <xf borderId="1" fillId="0" fontId="3" numFmtId="0" xfId="0" applyAlignment="1" applyBorder="1" applyFont="1">
      <alignment horizontal="center" readingOrder="0" vertical="center"/>
    </xf>
    <xf borderId="6" fillId="0" fontId="3" numFmtId="0" xfId="0" applyAlignment="1" applyBorder="1" applyFont="1">
      <alignment horizontal="center"/>
    </xf>
    <xf borderId="1" fillId="0" fontId="6" numFmtId="0" xfId="0" applyAlignment="1" applyBorder="1" applyFont="1">
      <alignment horizontal="center" readingOrder="0" vertical="center"/>
    </xf>
    <xf borderId="7" fillId="6" fontId="7" numFmtId="0" xfId="0" applyAlignment="1" applyBorder="1" applyFill="1" applyFont="1">
      <alignment horizontal="center" readingOrder="0"/>
    </xf>
    <xf borderId="7" fillId="6" fontId="7" numFmtId="0" xfId="0" applyAlignment="1" applyBorder="1" applyFont="1">
      <alignment horizontal="left" readingOrder="0"/>
    </xf>
    <xf borderId="7" fillId="0" fontId="7" numFmtId="0" xfId="0" applyAlignment="1" applyBorder="1" applyFont="1">
      <alignment horizontal="center" readingOrder="0" shrinkToFit="0" wrapText="0"/>
    </xf>
    <xf borderId="7" fillId="0" fontId="7" numFmtId="0" xfId="0" applyAlignment="1" applyBorder="1" applyFont="1">
      <alignment horizontal="center" readingOrder="0"/>
    </xf>
    <xf borderId="7" fillId="0" fontId="7" numFmtId="0" xfId="0" applyAlignment="1" applyBorder="1" applyFont="1">
      <alignment horizontal="center" shrinkToFit="0" wrapText="0"/>
    </xf>
    <xf borderId="7" fillId="7" fontId="3" numFmtId="0" xfId="0" applyAlignment="1" applyBorder="1" applyFill="1" applyFont="1">
      <alignment horizontal="center" readingOrder="0"/>
    </xf>
    <xf borderId="7" fillId="7" fontId="8" numFmtId="0" xfId="0" applyAlignment="1" applyBorder="1" applyFont="1">
      <alignment horizontal="center" readingOrder="0"/>
    </xf>
    <xf borderId="7" fillId="7" fontId="8" numFmtId="0" xfId="0" applyAlignment="1" applyBorder="1" applyFont="1">
      <alignment horizontal="left" readingOrder="0"/>
    </xf>
    <xf borderId="7" fillId="7" fontId="1" numFmtId="0" xfId="0" applyAlignment="1" applyBorder="1" applyFont="1">
      <alignment horizontal="center" readingOrder="0"/>
    </xf>
    <xf borderId="7" fillId="7" fontId="8" numFmtId="0" xfId="0" applyAlignment="1" applyBorder="1" applyFont="1">
      <alignment horizontal="center" readingOrder="0" shrinkToFit="0" wrapText="0"/>
    </xf>
    <xf borderId="7" fillId="7" fontId="1" numFmtId="0" xfId="0" applyAlignment="1" applyBorder="1" applyFont="1">
      <alignment horizontal="center"/>
    </xf>
    <xf borderId="0" fillId="0" fontId="1" numFmtId="0" xfId="0" applyAlignment="1" applyFont="1">
      <alignment readingOrder="0"/>
    </xf>
    <xf borderId="7" fillId="0" fontId="7" numFmtId="0" xfId="0" applyAlignment="1" applyBorder="1" applyFont="1">
      <alignment readingOrder="0" shrinkToFit="0" vertical="bottom" wrapText="0"/>
    </xf>
    <xf borderId="7" fillId="7" fontId="8" numFmtId="0" xfId="0" applyAlignment="1" applyBorder="1" applyFont="1">
      <alignment horizontal="center" shrinkToFit="0" wrapText="0"/>
    </xf>
    <xf borderId="7" fillId="7" fontId="8" numFmtId="0" xfId="0" applyAlignment="1" applyBorder="1" applyFont="1">
      <alignment readingOrder="0" shrinkToFit="0" vertical="bottom" wrapText="0"/>
    </xf>
    <xf borderId="0" fillId="0" fontId="7" numFmtId="0" xfId="0" applyAlignment="1" applyFont="1">
      <alignment horizontal="center" readingOrder="0" shrinkToFit="0" wrapText="0"/>
    </xf>
    <xf borderId="14" fillId="0" fontId="3" numFmtId="0" xfId="0" applyAlignment="1" applyBorder="1" applyFont="1">
      <alignment horizontal="center"/>
    </xf>
    <xf borderId="14" fillId="0" fontId="7" numFmtId="0" xfId="0" applyAlignment="1" applyBorder="1" applyFont="1">
      <alignment horizontal="center" readingOrder="0" shrinkToFit="0" wrapText="0"/>
    </xf>
    <xf borderId="15" fillId="0" fontId="3" numFmtId="0" xfId="0" applyAlignment="1" applyBorder="1" applyFont="1">
      <alignment horizontal="center" readingOrder="0"/>
    </xf>
    <xf borderId="0" fillId="0" fontId="1" numFmtId="0" xfId="0" applyAlignment="1" applyFont="1">
      <alignment horizontal="center" readingOrder="0"/>
    </xf>
    <xf borderId="1" fillId="0" fontId="3" numFmtId="0" xfId="0" applyAlignment="1" applyBorder="1" applyFont="1">
      <alignment readingOrder="0"/>
    </xf>
    <xf borderId="1" fillId="0" fontId="3" numFmtId="0" xfId="0" applyBorder="1" applyFont="1"/>
    <xf borderId="15" fillId="0" fontId="3" numFmtId="0" xfId="0" applyAlignment="1" applyBorder="1" applyFont="1">
      <alignment readingOrder="0"/>
    </xf>
    <xf borderId="10" fillId="0" fontId="3" numFmtId="0" xfId="0" applyBorder="1" applyFont="1"/>
    <xf borderId="0" fillId="0" fontId="3" numFmtId="0" xfId="0" applyAlignment="1" applyFont="1">
      <alignment readingOrder="0" shrinkToFit="0" vertical="center" wrapText="1"/>
    </xf>
    <xf borderId="6" fillId="0" fontId="3" numFmtId="0" xfId="0" applyBorder="1" applyFont="1"/>
    <xf borderId="16" fillId="0" fontId="3" numFmtId="0" xfId="0" applyAlignment="1" applyBorder="1" applyFont="1">
      <alignment horizontal="center" readingOrder="0" shrinkToFit="0" vertical="center" wrapText="1"/>
    </xf>
    <xf borderId="10" fillId="0" fontId="3" numFmtId="0" xfId="0" applyAlignment="1" applyBorder="1" applyFont="1">
      <alignment readingOrder="0"/>
    </xf>
    <xf borderId="15" fillId="0" fontId="3" numFmtId="0" xfId="0" applyAlignment="1" applyBorder="1" applyFont="1">
      <alignment horizontal="center" readingOrder="0" shrinkToFit="0" wrapText="1"/>
    </xf>
    <xf borderId="0" fillId="0" fontId="3" numFmtId="0" xfId="0" applyAlignment="1" applyFont="1">
      <alignment horizontal="center" readingOrder="0" shrinkToFit="0" wrapText="1"/>
    </xf>
    <xf borderId="6" fillId="0" fontId="3" numFmtId="0" xfId="0" applyAlignment="1" applyBorder="1" applyFont="1">
      <alignment horizontal="center" readingOrder="0"/>
    </xf>
    <xf borderId="17" fillId="0" fontId="3" numFmtId="0" xfId="0" applyAlignment="1" applyBorder="1" applyFont="1">
      <alignment horizontal="center" readingOrder="0" shrinkToFit="0" wrapText="1"/>
    </xf>
    <xf borderId="6" fillId="0" fontId="3" numFmtId="0" xfId="0" applyAlignment="1" applyBorder="1" applyFont="1">
      <alignment horizontal="center" readingOrder="0" vertical="center"/>
    </xf>
    <xf borderId="12" fillId="0" fontId="3" numFmtId="0" xfId="0" applyAlignment="1" applyBorder="1" applyFont="1">
      <alignment horizontal="center" readingOrder="0"/>
    </xf>
    <xf borderId="17" fillId="0" fontId="3" numFmtId="0" xfId="0" applyAlignment="1" applyBorder="1" applyFont="1">
      <alignment horizontal="center" readingOrder="0"/>
    </xf>
    <xf borderId="6" fillId="0" fontId="3" numFmtId="0" xfId="0" applyAlignment="1" applyBorder="1" applyFont="1">
      <alignment readingOrder="0"/>
    </xf>
    <xf borderId="12" fillId="0" fontId="3" numFmtId="0" xfId="0" applyAlignment="1" applyBorder="1" applyFont="1">
      <alignment readingOrder="0"/>
    </xf>
    <xf borderId="0" fillId="0" fontId="9" numFmtId="164" xfId="0" applyAlignment="1" applyFont="1" applyNumberFormat="1">
      <alignment horizontal="center" readingOrder="0" vertical="center"/>
    </xf>
    <xf borderId="16" fillId="0" fontId="3" numFmtId="0" xfId="0" applyAlignment="1" applyBorder="1" applyFont="1">
      <alignment readingOrder="0"/>
    </xf>
    <xf borderId="0" fillId="0" fontId="10" numFmtId="0" xfId="0" applyAlignment="1" applyFont="1">
      <alignment horizontal="center"/>
    </xf>
    <xf borderId="0" fillId="0" fontId="11" numFmtId="0" xfId="0" applyAlignment="1" applyFont="1">
      <alignment horizontal="center" vertical="bottom"/>
    </xf>
    <xf borderId="18" fillId="0" fontId="10" numFmtId="0" xfId="0" applyAlignment="1" applyBorder="1" applyFont="1">
      <alignment horizontal="center"/>
    </xf>
    <xf borderId="18" fillId="0" fontId="2" numFmtId="0" xfId="0" applyBorder="1" applyFont="1"/>
    <xf borderId="7" fillId="8" fontId="10" numFmtId="0" xfId="0" applyAlignment="1" applyBorder="1" applyFill="1" applyFont="1">
      <alignment horizontal="center" shrinkToFit="0" vertical="bottom" wrapText="1"/>
    </xf>
    <xf borderId="7" fillId="8" fontId="10" numFmtId="0" xfId="0" applyAlignment="1" applyBorder="1" applyFont="1">
      <alignment horizontal="center" shrinkToFit="0" wrapText="1"/>
    </xf>
    <xf borderId="7" fillId="8" fontId="10" numFmtId="0" xfId="0" applyAlignment="1" applyBorder="1" applyFont="1">
      <alignment horizontal="center" readingOrder="0" shrinkToFit="0" wrapText="1"/>
    </xf>
    <xf borderId="7" fillId="0" fontId="11" numFmtId="0" xfId="0" applyAlignment="1" applyBorder="1" applyFont="1">
      <alignment horizontal="center" shrinkToFit="0" vertical="center" wrapText="1"/>
    </xf>
    <xf borderId="7" fillId="0" fontId="11" numFmtId="10" xfId="0" applyAlignment="1" applyBorder="1" applyFont="1" applyNumberFormat="1">
      <alignment horizontal="center" shrinkToFit="0" vertical="center" wrapText="1"/>
    </xf>
    <xf borderId="7" fillId="0" fontId="5" numFmtId="165" xfId="0" applyAlignment="1" applyBorder="1" applyFont="1" applyNumberFormat="1">
      <alignment shrinkToFit="0" vertical="center" wrapText="1"/>
    </xf>
    <xf borderId="7" fillId="0" fontId="11" numFmtId="0" xfId="0" applyAlignment="1" applyBorder="1" applyFont="1">
      <alignment horizontal="center" readingOrder="0" shrinkToFit="0" vertical="center" wrapText="1"/>
    </xf>
    <xf borderId="7" fillId="0" fontId="11" numFmtId="166" xfId="0" applyAlignment="1" applyBorder="1" applyFont="1" applyNumberFormat="1">
      <alignment horizontal="center" readingOrder="0" shrinkToFit="0" vertical="center" wrapText="1"/>
    </xf>
    <xf borderId="7" fillId="0" fontId="3" numFmtId="0" xfId="0" applyAlignment="1" applyBorder="1" applyFont="1">
      <alignment horizontal="center" readingOrder="0" shrinkToFit="0" vertical="center" wrapText="1"/>
    </xf>
    <xf borderId="0" fillId="0" fontId="11" numFmtId="0" xfId="0" applyAlignment="1" applyFont="1">
      <alignment horizontal="center" readingOrder="0" vertical="bottom"/>
    </xf>
    <xf borderId="7" fillId="0" fontId="3" numFmtId="0" xfId="0" applyBorder="1" applyFont="1"/>
    <xf borderId="0" fillId="0" fontId="9" numFmtId="0" xfId="0" applyAlignment="1" applyFont="1">
      <alignment horizontal="center" readingOrder="0" vertical="center"/>
    </xf>
    <xf borderId="2" fillId="5" fontId="1" numFmtId="0" xfId="0" applyAlignment="1" applyBorder="1" applyFont="1">
      <alignment horizontal="center" readingOrder="0" vertical="center"/>
    </xf>
    <xf borderId="7" fillId="5" fontId="1" numFmtId="0" xfId="0" applyAlignment="1" applyBorder="1" applyFont="1">
      <alignment horizontal="center" readingOrder="0" shrinkToFit="0" vertical="center" wrapText="1"/>
    </xf>
    <xf borderId="7" fillId="2" fontId="1" numFmtId="0" xfId="0" applyAlignment="1" applyBorder="1" applyFont="1">
      <alignment horizontal="center" readingOrder="0" shrinkToFit="0" vertical="center" wrapText="1"/>
    </xf>
    <xf borderId="7" fillId="5" fontId="3" numFmtId="0" xfId="0" applyBorder="1" applyFont="1"/>
    <xf borderId="7" fillId="2" fontId="3" numFmtId="0" xfId="0" applyBorder="1" applyFont="1"/>
  </cellXfs>
  <cellStyles count="1">
    <cellStyle xfId="0" name="Normal" builtinId="0"/>
  </cellStyles>
  <dxfs count="2">
    <dxf>
      <font/>
      <fill>
        <patternFill patternType="solid">
          <fgColor rgb="FF980000"/>
          <bgColor rgb="FF9800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63"/>
    <col customWidth="1" min="3" max="3" width="14.63"/>
    <col customWidth="1" min="4" max="4" width="14.75"/>
    <col customWidth="1" min="5" max="5" width="16.0"/>
    <col customWidth="1" min="6" max="6" width="9.75"/>
    <col customWidth="1" min="7" max="7" width="8.5"/>
    <col customWidth="1" min="8" max="8" width="19.88"/>
    <col customWidth="1" min="9" max="9" width="27.63"/>
    <col customWidth="1" min="10" max="10" width="19.0"/>
    <col customWidth="1" min="11" max="11" width="11.13"/>
  </cols>
  <sheetData>
    <row r="1" ht="26.25" customHeight="1">
      <c r="A1" s="1" t="s">
        <v>0</v>
      </c>
    </row>
    <row r="2">
      <c r="A2" s="2" t="s">
        <v>1</v>
      </c>
      <c r="B2" s="2" t="s">
        <v>2</v>
      </c>
      <c r="C2" s="2" t="s">
        <v>3</v>
      </c>
      <c r="D2" s="3" t="s">
        <v>4</v>
      </c>
      <c r="E2" s="2" t="s">
        <v>5</v>
      </c>
      <c r="F2" s="2" t="s">
        <v>6</v>
      </c>
      <c r="G2" s="2" t="s">
        <v>7</v>
      </c>
      <c r="H2" s="4" t="s">
        <v>8</v>
      </c>
      <c r="I2" s="5"/>
      <c r="J2" s="5"/>
      <c r="K2" s="6"/>
      <c r="L2" s="7"/>
      <c r="M2" s="8" t="s">
        <v>9</v>
      </c>
    </row>
    <row r="3" ht="22.5" customHeight="1">
      <c r="A3" s="9"/>
      <c r="B3" s="9"/>
      <c r="C3" s="9"/>
      <c r="D3" s="9"/>
      <c r="E3" s="9"/>
      <c r="F3" s="9"/>
      <c r="G3" s="9"/>
      <c r="H3" s="10" t="s">
        <v>10</v>
      </c>
      <c r="I3" s="11" t="s">
        <v>11</v>
      </c>
      <c r="J3" s="12" t="s">
        <v>12</v>
      </c>
      <c r="K3" s="13" t="s">
        <v>13</v>
      </c>
      <c r="L3" s="7"/>
    </row>
    <row r="4">
      <c r="A4" s="14">
        <v>1.0</v>
      </c>
      <c r="B4" s="14" t="s">
        <v>14</v>
      </c>
      <c r="C4" s="14" t="s">
        <v>14</v>
      </c>
      <c r="D4" s="14" t="s">
        <v>14</v>
      </c>
      <c r="E4" s="14" t="s">
        <v>14</v>
      </c>
      <c r="F4" s="14" t="s">
        <v>14</v>
      </c>
      <c r="G4" s="15">
        <v>1.0</v>
      </c>
      <c r="H4" s="16" t="s">
        <v>15</v>
      </c>
      <c r="I4" s="17"/>
      <c r="J4" s="17"/>
      <c r="K4" s="18"/>
      <c r="L4" s="7"/>
    </row>
    <row r="5">
      <c r="A5" s="19">
        <v>2.0</v>
      </c>
      <c r="B5" s="19" t="s">
        <v>16</v>
      </c>
      <c r="C5" s="19" t="s">
        <v>16</v>
      </c>
      <c r="D5" s="19" t="s">
        <v>16</v>
      </c>
      <c r="E5" s="19" t="s">
        <v>16</v>
      </c>
      <c r="F5" s="19" t="s">
        <v>16</v>
      </c>
      <c r="G5" s="20">
        <v>1.0</v>
      </c>
      <c r="H5" s="21" t="s">
        <v>15</v>
      </c>
      <c r="I5" s="22"/>
      <c r="J5" s="22"/>
      <c r="K5" s="23"/>
      <c r="L5" s="7"/>
    </row>
    <row r="6">
      <c r="A6" s="24"/>
      <c r="B6" s="25" t="s">
        <v>14</v>
      </c>
      <c r="C6" s="25" t="s">
        <v>14</v>
      </c>
      <c r="D6" s="25" t="s">
        <v>14</v>
      </c>
      <c r="E6" s="25" t="s">
        <v>14</v>
      </c>
      <c r="F6" s="25" t="s">
        <v>14</v>
      </c>
      <c r="G6" s="26">
        <v>1.0</v>
      </c>
      <c r="H6" s="27" t="s">
        <v>15</v>
      </c>
      <c r="I6" s="28"/>
      <c r="J6" s="28"/>
      <c r="K6" s="29"/>
      <c r="L6" s="7"/>
    </row>
    <row r="7">
      <c r="A7" s="30"/>
      <c r="B7" s="31" t="s">
        <v>14</v>
      </c>
      <c r="C7" s="31" t="s">
        <v>14</v>
      </c>
      <c r="D7" s="31" t="s">
        <v>14</v>
      </c>
      <c r="E7" s="31" t="s">
        <v>14</v>
      </c>
      <c r="F7" s="31" t="s">
        <v>14</v>
      </c>
      <c r="G7" s="32">
        <v>1.0</v>
      </c>
      <c r="H7" s="33"/>
      <c r="I7" s="34" t="s">
        <v>17</v>
      </c>
      <c r="J7" s="35"/>
      <c r="K7" s="18"/>
      <c r="L7" s="7"/>
    </row>
    <row r="8">
      <c r="A8" s="36"/>
      <c r="B8" s="37" t="s">
        <v>14</v>
      </c>
      <c r="C8" s="37" t="s">
        <v>14</v>
      </c>
      <c r="D8" s="37" t="s">
        <v>14</v>
      </c>
      <c r="E8" s="37" t="s">
        <v>14</v>
      </c>
      <c r="F8" s="37" t="s">
        <v>14</v>
      </c>
      <c r="G8" s="38">
        <v>1.0</v>
      </c>
      <c r="H8" s="39"/>
      <c r="I8" s="40" t="s">
        <v>17</v>
      </c>
      <c r="K8" s="23"/>
      <c r="L8" s="7"/>
    </row>
    <row r="9">
      <c r="A9" s="41"/>
      <c r="B9" s="42" t="s">
        <v>16</v>
      </c>
      <c r="C9" s="42" t="s">
        <v>16</v>
      </c>
      <c r="D9" s="42" t="s">
        <v>16</v>
      </c>
      <c r="E9" s="42" t="s">
        <v>16</v>
      </c>
      <c r="F9" s="42" t="s">
        <v>16</v>
      </c>
      <c r="G9" s="43">
        <v>1.0</v>
      </c>
      <c r="H9" s="44"/>
      <c r="I9" s="45" t="s">
        <v>17</v>
      </c>
      <c r="J9" s="46"/>
      <c r="K9" s="29"/>
      <c r="L9" s="7"/>
    </row>
    <row r="10">
      <c r="A10" s="47"/>
      <c r="B10" s="48" t="s">
        <v>18</v>
      </c>
      <c r="C10" s="48" t="s">
        <v>18</v>
      </c>
      <c r="D10" s="48" t="s">
        <v>18</v>
      </c>
      <c r="E10" s="48" t="s">
        <v>18</v>
      </c>
      <c r="F10" s="48" t="s">
        <v>18</v>
      </c>
      <c r="G10" s="49">
        <v>1.0</v>
      </c>
      <c r="H10" s="50"/>
      <c r="I10" s="50"/>
      <c r="J10" s="51" t="s">
        <v>19</v>
      </c>
      <c r="K10" s="18"/>
      <c r="L10" s="7"/>
    </row>
    <row r="11">
      <c r="A11" s="52"/>
      <c r="B11" s="53" t="s">
        <v>16</v>
      </c>
      <c r="C11" s="53" t="s">
        <v>16</v>
      </c>
      <c r="D11" s="53" t="s">
        <v>16</v>
      </c>
      <c r="E11" s="53" t="s">
        <v>16</v>
      </c>
      <c r="F11" s="53" t="s">
        <v>16</v>
      </c>
      <c r="G11" s="54">
        <v>1.0</v>
      </c>
      <c r="H11" s="55"/>
      <c r="I11" s="55"/>
      <c r="J11" s="56" t="s">
        <v>19</v>
      </c>
      <c r="K11" s="23"/>
      <c r="L11" s="7"/>
    </row>
    <row r="12">
      <c r="A12" s="57"/>
      <c r="B12" s="58" t="s">
        <v>20</v>
      </c>
      <c r="C12" s="58" t="s">
        <v>20</v>
      </c>
      <c r="D12" s="58" t="s">
        <v>20</v>
      </c>
      <c r="E12" s="58" t="s">
        <v>20</v>
      </c>
      <c r="F12" s="58" t="s">
        <v>20</v>
      </c>
      <c r="G12" s="59">
        <v>1.0</v>
      </c>
      <c r="H12" s="60"/>
      <c r="I12" s="60"/>
      <c r="J12" s="61" t="s">
        <v>19</v>
      </c>
      <c r="K12" s="29"/>
      <c r="L12" s="7"/>
    </row>
    <row r="13">
      <c r="A13" s="62"/>
      <c r="B13" s="63" t="s">
        <v>18</v>
      </c>
      <c r="C13" s="63" t="s">
        <v>18</v>
      </c>
      <c r="D13" s="63" t="s">
        <v>18</v>
      </c>
      <c r="E13" s="63" t="s">
        <v>18</v>
      </c>
      <c r="F13" s="63" t="s">
        <v>18</v>
      </c>
      <c r="G13" s="64">
        <v>1.0</v>
      </c>
      <c r="H13" s="65"/>
      <c r="I13" s="65"/>
      <c r="J13" s="65"/>
      <c r="K13" s="66"/>
      <c r="L13" s="7"/>
    </row>
    <row r="14">
      <c r="A14" s="67"/>
      <c r="B14" s="68" t="s">
        <v>21</v>
      </c>
      <c r="C14" s="68" t="s">
        <v>21</v>
      </c>
      <c r="D14" s="68" t="s">
        <v>21</v>
      </c>
      <c r="E14" s="68" t="s">
        <v>21</v>
      </c>
      <c r="F14" s="68" t="s">
        <v>21</v>
      </c>
      <c r="G14" s="69">
        <v>1.0</v>
      </c>
      <c r="H14" s="65"/>
      <c r="I14" s="65"/>
      <c r="J14" s="65"/>
      <c r="K14" s="66" t="s">
        <v>22</v>
      </c>
      <c r="L14" s="7"/>
    </row>
    <row r="15">
      <c r="A15" s="70"/>
      <c r="B15" s="70"/>
      <c r="C15" s="70"/>
      <c r="D15" s="70"/>
      <c r="E15" s="70"/>
      <c r="F15" s="70"/>
      <c r="G15" s="71"/>
      <c r="H15" s="72"/>
      <c r="I15" s="72"/>
      <c r="J15" s="72"/>
      <c r="K15" s="73" t="s">
        <v>22</v>
      </c>
      <c r="L15" s="7"/>
    </row>
    <row r="16">
      <c r="B16" s="74"/>
    </row>
    <row r="17">
      <c r="A17" s="75"/>
      <c r="B17" s="76"/>
      <c r="C17" s="75"/>
      <c r="D17" s="75"/>
      <c r="E17" s="75"/>
      <c r="F17" s="75"/>
      <c r="G17" s="75"/>
      <c r="H17" s="75"/>
      <c r="I17" s="75"/>
      <c r="J17" s="75"/>
      <c r="K17" s="75"/>
    </row>
    <row r="18">
      <c r="B18" s="74"/>
    </row>
    <row r="19">
      <c r="B19" s="74"/>
    </row>
    <row r="20">
      <c r="B20" s="74"/>
    </row>
    <row r="21">
      <c r="B21" s="74"/>
    </row>
    <row r="22">
      <c r="B22" s="74"/>
    </row>
    <row r="23">
      <c r="B23" s="74"/>
    </row>
    <row r="24">
      <c r="B24" s="74"/>
    </row>
    <row r="25">
      <c r="B25" s="74"/>
    </row>
    <row r="26">
      <c r="B26" s="74"/>
    </row>
    <row r="27">
      <c r="B27" s="74"/>
    </row>
    <row r="28">
      <c r="B28" s="74"/>
    </row>
    <row r="29">
      <c r="B29" s="74"/>
    </row>
    <row r="30">
      <c r="B30" s="74"/>
    </row>
    <row r="31">
      <c r="B31" s="74"/>
    </row>
    <row r="32">
      <c r="B32" s="74"/>
    </row>
    <row r="33">
      <c r="B33" s="74"/>
    </row>
    <row r="34">
      <c r="B34" s="74"/>
    </row>
    <row r="35">
      <c r="B35" s="74"/>
    </row>
    <row r="70">
      <c r="A70" s="75"/>
      <c r="B70" s="75"/>
      <c r="C70" s="75"/>
      <c r="D70" s="75"/>
      <c r="E70" s="75"/>
      <c r="F70" s="75"/>
      <c r="G70" s="75"/>
      <c r="H70" s="75"/>
      <c r="I70" s="75"/>
      <c r="J70" s="75"/>
      <c r="K70" s="75"/>
    </row>
  </sheetData>
  <mergeCells count="10">
    <mergeCell ref="G2:G3"/>
    <mergeCell ref="H2:K2"/>
    <mergeCell ref="M2:M15"/>
    <mergeCell ref="A1:K1"/>
    <mergeCell ref="A2:A3"/>
    <mergeCell ref="B2:B3"/>
    <mergeCell ref="C2:C3"/>
    <mergeCell ref="D2:D3"/>
    <mergeCell ref="E2:E3"/>
    <mergeCell ref="F2:F3"/>
  </mergeCells>
  <dataValidations>
    <dataValidation type="list" allowBlank="1" showErrorMessage="1" sqref="J10:J12">
      <formula1>"BV ĐK KV Củ Chi,BV ĐK Vĩnh Long,BV Quận Bình Tân,BV Ung Bướu,Phòng khám Medic Sài Gòn"</formula1>
    </dataValidation>
    <dataValidation type="list" allowBlank="1" showErrorMessage="1" sqref="I7:I9">
      <formula1>"Bệnh viện Bạch Mai,Bệnh viện Đa khoa An Việt,Bệnh viện Đa khoa Đông Hưng,Bệnh viện Đa khoa Hà Đông,Bệnh viện Đa khoa Hà Nam,Bệnh viện Đa khoa Nghi Sơn,Bệnh viện Đa khoa Thái Bình,Bệnh viện ĐKT Ninh Bình,Bệnh viện ĐKT Thanh Hoá,Bệnh viện Nhi Hải Phòng,Bệnh"&amp;" viện Nhi Thái Bình,Bệnh viện Nhi TW,Bệnh viện Nội Tiết TW,Bệnh viện Phổi Hải Dương,Bệnh viện Phụ sản Hà Nội,Bệnh viện Quốc tế Green (Hải Phòng),Bệnh viện Sản Nhi Ninh Bình,Bệnh viện Vinmec Hải Phòng,CDC Ninh Bình,Pk Xuân Trường (Nam Định),PK Thu Cúc"</formula1>
    </dataValidation>
    <dataValidation type="list" allowBlank="1" showErrorMessage="1" sqref="H4:H6">
      <formula1>"BV Bắc Quảng Bình,BV C Đà Nẵng,BV CTCH Nghệ An,BV CuBa-Đồng Hới,BV Đà Nẵng,BV E Đà Nẵng,BV Hữu Nghị Nghệ An,BV Sản Nhi Nghệ An,BV Ung Bướu Nghệ An,BVĐK Cửa Đông,BVĐK Minh An,BVĐK Minh Thành,BVĐK Quang Khởi,BVĐK Quảng Trị,BVTW Huế,TTHHTM Nghệ An,TTKSBT Ngh"&amp;"ệ An,TTYT Anh Sơn,TTYT Nam Đàn,TTYT Qùy Châu"</formula1>
    </dataValidation>
    <dataValidation type="list" allowBlank="1" showErrorMessage="1" sqref="K13:K15">
      <formula1>"Đại An,ĐK Bắc Giang,Đức Minh,Gen HD,Gia Lai,Hà Trung,Hợp Lực,Huyết Học Truyền Máu,Mắt Thái Nguyên,Ngọc Lặc,Phổi Bắc Giang,Phổi Thanh Hóa,Phúc Thịnh,Quảng Ngãi,Raca,Sơn Động,Tâm Đức,Thạch Thành,Thanh Hà,Thiên Ngọc Lan,Thiệu Hóa,Tuyên Quang,Đông Anh,103,Việ"&amp;"t Đức"</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38"/>
    <col customWidth="1" min="4" max="4" width="22.0"/>
    <col customWidth="1" min="5" max="5" width="16.0"/>
    <col customWidth="1" min="10" max="10" width="15.25"/>
  </cols>
  <sheetData>
    <row r="1">
      <c r="A1" s="1" t="s">
        <v>0</v>
      </c>
    </row>
    <row r="2">
      <c r="A2" s="2" t="s">
        <v>1</v>
      </c>
      <c r="B2" s="2" t="s">
        <v>2</v>
      </c>
      <c r="C2" s="2" t="s">
        <v>3</v>
      </c>
      <c r="D2" s="2" t="s">
        <v>23</v>
      </c>
      <c r="E2" s="2" t="s">
        <v>5</v>
      </c>
      <c r="F2" s="2" t="s">
        <v>6</v>
      </c>
      <c r="G2" s="77" t="s">
        <v>24</v>
      </c>
      <c r="H2" s="2" t="s">
        <v>25</v>
      </c>
      <c r="I2" s="3" t="s">
        <v>26</v>
      </c>
      <c r="J2" s="78" t="s">
        <v>27</v>
      </c>
    </row>
    <row r="3">
      <c r="A3" s="9"/>
      <c r="B3" s="9"/>
      <c r="C3" s="9"/>
      <c r="D3" s="9"/>
      <c r="E3" s="9"/>
      <c r="F3" s="9"/>
      <c r="G3" s="79"/>
      <c r="H3" s="9"/>
      <c r="I3" s="9"/>
      <c r="J3" s="9"/>
    </row>
    <row r="4">
      <c r="A4" s="80">
        <v>1.0</v>
      </c>
      <c r="B4" s="80" t="str">
        <f>IFERROR(__xludf.DUMMYFUNCTION("UNIQUE(FILTER('Dự trù từ Sales'!B4:B15, 'Dự trù từ Sales'!B4:B15 &lt;&gt; """"))"),"abcd")</f>
        <v>abcd</v>
      </c>
      <c r="C4" s="80" t="str">
        <f>IFERROR(VLOOKUP(B4, 'Dự trù từ Sales'!$B:$G, 2, FALSE), "")</f>
        <v>abcd</v>
      </c>
      <c r="D4" s="80" t="str">
        <f>IFERROR(VLOOKUP(B4, 'Dự trù từ Sales'!$B:$G, 3, FALSE), "")</f>
        <v>abcd</v>
      </c>
      <c r="E4" s="80" t="str">
        <f>IFERROR(VLOOKUP(B4, 'Dự trù từ Sales'!$B:$G, 4, FALSE), "")</f>
        <v>abcd</v>
      </c>
      <c r="F4" s="80" t="str">
        <f>IFERROR(VLOOKUP(B4, 'Dự trù từ Sales'!$B:$G, 5, FALSE), "")</f>
        <v>abcd</v>
      </c>
      <c r="G4" s="81">
        <f>SUMIF('Dự trù từ Sales'!B4:B14, B4, 'Dự trù từ Sales'!G4:G14)</f>
        <v>4</v>
      </c>
      <c r="H4" s="82">
        <v>1.0</v>
      </c>
      <c r="I4" s="83">
        <f t="shared" ref="I4:I5" si="1">(G4-H4)*1.2</f>
        <v>3.6</v>
      </c>
      <c r="J4" s="84">
        <v>3.0</v>
      </c>
    </row>
    <row r="5">
      <c r="A5" s="85"/>
      <c r="B5" s="86" t="str">
        <f>IFERROR(__xludf.DUMMYFUNCTION("""COMPUTED_VALUE"""),"abcd1")</f>
        <v>abcd1</v>
      </c>
      <c r="C5" s="80" t="str">
        <f>IFERROR(VLOOKUP(B5, 'Dự trù từ Sales'!$B:$G, 2, FALSE), "")</f>
        <v>abcd1</v>
      </c>
      <c r="D5" s="80" t="str">
        <f>IFERROR(VLOOKUP(B5, 'Dự trù từ Sales'!$B:$G, 3, FALSE), "")</f>
        <v>abcd1</v>
      </c>
      <c r="E5" s="80" t="str">
        <f>IFERROR(VLOOKUP(B5, 'Dự trù từ Sales'!$B:$G, 4, FALSE), "")</f>
        <v>abcd1</v>
      </c>
      <c r="F5" s="80" t="str">
        <f>IFERROR(VLOOKUP(B5, 'Dự trù từ Sales'!$B:$G, 5, FALSE), "")</f>
        <v>abcd1</v>
      </c>
      <c r="G5" s="81">
        <f>SUMIF('Dự trù từ Sales'!B5:B15, B5, 'Dự trù từ Sales'!G5:G15)</f>
        <v>3</v>
      </c>
      <c r="H5" s="87">
        <v>1.0</v>
      </c>
      <c r="I5" s="83">
        <f t="shared" si="1"/>
        <v>2.4</v>
      </c>
      <c r="J5" s="84">
        <v>5.0</v>
      </c>
    </row>
    <row r="6">
      <c r="A6" s="85"/>
      <c r="B6" s="85" t="str">
        <f>IFERROR(__xludf.DUMMYFUNCTION("""COMPUTED_VALUE"""),"abcd2")</f>
        <v>abcd2</v>
      </c>
      <c r="C6" s="80" t="str">
        <f>IFERROR(VLOOKUP(B6, 'Dự trù từ Sales'!$B:$G, 2, FALSE), "")</f>
        <v>abcd2</v>
      </c>
      <c r="D6" s="80" t="str">
        <f>IFERROR(VLOOKUP(B6, 'Dự trù từ Sales'!$B:$G, 3, FALSE), "")</f>
        <v>abcd2</v>
      </c>
      <c r="E6" s="80" t="str">
        <f>IFERROR(VLOOKUP(B6, 'Dự trù từ Sales'!$B:$G, 4, FALSE), "")</f>
        <v>abcd2</v>
      </c>
      <c r="F6" s="80" t="str">
        <f>IFERROR(VLOOKUP(B6, 'Dự trù từ Sales'!$B:$G, 5, FALSE), "")</f>
        <v>abcd2</v>
      </c>
      <c r="G6" s="81">
        <f>SUMIF('Dự trù từ Sales'!B6:B16, B6, 'Dự trù từ Sales'!G6:G16)</f>
        <v>2</v>
      </c>
      <c r="H6" s="88"/>
      <c r="I6" s="88"/>
      <c r="J6" s="83"/>
    </row>
    <row r="7">
      <c r="A7" s="85"/>
      <c r="B7" s="85" t="str">
        <f>IFERROR(__xludf.DUMMYFUNCTION("""COMPUTED_VALUE"""),"abcd3")</f>
        <v>abcd3</v>
      </c>
      <c r="C7" s="80" t="str">
        <f>IFERROR(VLOOKUP(B7, 'Dự trù từ Sales'!$B:$G, 2, FALSE), "")</f>
        <v>abcd3</v>
      </c>
      <c r="D7" s="80" t="str">
        <f>IFERROR(VLOOKUP(B7, 'Dự trù từ Sales'!$B:$G, 3, FALSE), "")</f>
        <v>abcd3</v>
      </c>
      <c r="E7" s="80" t="str">
        <f>IFERROR(VLOOKUP(B7, 'Dự trù từ Sales'!$B:$G, 4, FALSE), "")</f>
        <v>abcd3</v>
      </c>
      <c r="F7" s="80" t="str">
        <f>IFERROR(VLOOKUP(B7, 'Dự trù từ Sales'!$B:$G, 5, FALSE), "")</f>
        <v>abcd3</v>
      </c>
      <c r="G7" s="81">
        <f>SUMIF('Dự trù từ Sales'!B7:B17, B7, 'Dự trù từ Sales'!G7:G17)</f>
        <v>1</v>
      </c>
      <c r="H7" s="88"/>
      <c r="I7" s="88"/>
      <c r="J7" s="83"/>
    </row>
    <row r="8">
      <c r="A8" s="89"/>
      <c r="B8" s="90" t="str">
        <f>IFERROR(__xludf.DUMMYFUNCTION("""COMPUTED_VALUE"""),"abcd4")</f>
        <v>abcd4</v>
      </c>
      <c r="C8" s="80" t="str">
        <f>IFERROR(VLOOKUP(B8, 'Dự trù từ Sales'!$B:$G, 2, FALSE), "")</f>
        <v>abcd4</v>
      </c>
      <c r="D8" s="80" t="str">
        <f>IFERROR(VLOOKUP(B8, 'Dự trù từ Sales'!$B:$G, 3, FALSE), "")</f>
        <v>abcd4</v>
      </c>
      <c r="E8" s="80" t="str">
        <f>IFERROR(VLOOKUP(B8, 'Dự trù từ Sales'!$B:$G, 4, FALSE), "")</f>
        <v>abcd4</v>
      </c>
      <c r="F8" s="80" t="str">
        <f>IFERROR(VLOOKUP(B8, 'Dự trù từ Sales'!$B:$G, 5, FALSE), "")</f>
        <v>abcd4</v>
      </c>
      <c r="G8" s="91">
        <f>SUMIF('Dự trù từ Sales'!B8:B18, B8, 'Dự trù từ Sales'!G8:G18)</f>
        <v>1</v>
      </c>
      <c r="H8" s="88"/>
      <c r="I8" s="88"/>
      <c r="J8" s="83"/>
    </row>
    <row r="9">
      <c r="A9" s="89"/>
      <c r="B9" s="90"/>
      <c r="C9" s="90"/>
      <c r="D9" s="90"/>
      <c r="E9" s="90"/>
      <c r="F9" s="90"/>
      <c r="G9" s="83"/>
      <c r="H9" s="88"/>
      <c r="I9" s="88"/>
      <c r="J9" s="83"/>
    </row>
    <row r="10">
      <c r="A10" s="89"/>
      <c r="B10" s="90"/>
      <c r="C10" s="90"/>
      <c r="D10" s="90"/>
      <c r="E10" s="90"/>
      <c r="F10" s="90"/>
      <c r="G10" s="83"/>
      <c r="H10" s="88"/>
      <c r="I10" s="88"/>
      <c r="J10" s="83"/>
    </row>
    <row r="11">
      <c r="A11" s="83"/>
      <c r="B11" s="83"/>
      <c r="C11" s="83"/>
      <c r="D11" s="83"/>
      <c r="E11" s="83"/>
      <c r="F11" s="83"/>
      <c r="G11" s="83"/>
      <c r="H11" s="83"/>
      <c r="I11" s="83"/>
      <c r="J11" s="83"/>
    </row>
    <row r="12">
      <c r="A12" s="92"/>
      <c r="B12" s="92"/>
      <c r="C12" s="92"/>
      <c r="D12" s="92"/>
      <c r="E12" s="92"/>
      <c r="F12" s="92"/>
      <c r="G12" s="92"/>
      <c r="H12" s="92"/>
      <c r="I12" s="92"/>
      <c r="J12" s="92"/>
    </row>
    <row r="14">
      <c r="A14" s="75"/>
      <c r="B14" s="75"/>
      <c r="C14" s="75"/>
      <c r="D14" s="75"/>
      <c r="E14" s="75"/>
      <c r="F14" s="75"/>
      <c r="G14" s="75"/>
      <c r="H14" s="75"/>
      <c r="I14" s="75"/>
      <c r="J14" s="75"/>
    </row>
    <row r="32">
      <c r="A32" s="75"/>
      <c r="B32" s="75"/>
      <c r="C32" s="75"/>
      <c r="D32" s="75"/>
      <c r="E32" s="75"/>
      <c r="F32" s="75"/>
      <c r="G32" s="75"/>
      <c r="H32" s="75"/>
      <c r="I32" s="75"/>
      <c r="J32" s="75"/>
    </row>
    <row r="35">
      <c r="A35" s="1" t="s">
        <v>28</v>
      </c>
    </row>
    <row r="36">
      <c r="A36" s="2" t="s">
        <v>1</v>
      </c>
      <c r="B36" s="2" t="s">
        <v>2</v>
      </c>
      <c r="C36" s="2" t="s">
        <v>3</v>
      </c>
      <c r="D36" s="2" t="s">
        <v>23</v>
      </c>
      <c r="E36" s="2" t="s">
        <v>5</v>
      </c>
      <c r="F36" s="2" t="s">
        <v>6</v>
      </c>
      <c r="G36" s="93" t="s">
        <v>24</v>
      </c>
      <c r="H36" s="2" t="s">
        <v>25</v>
      </c>
      <c r="I36" s="3" t="s">
        <v>26</v>
      </c>
      <c r="J36" s="78" t="s">
        <v>27</v>
      </c>
    </row>
    <row r="37">
      <c r="A37" s="9"/>
      <c r="B37" s="9"/>
      <c r="C37" s="9"/>
      <c r="D37" s="9"/>
      <c r="E37" s="9"/>
      <c r="F37" s="9"/>
      <c r="G37" s="9"/>
      <c r="H37" s="9"/>
      <c r="I37" s="9"/>
      <c r="J37" s="9"/>
    </row>
    <row r="38">
      <c r="A38" s="80">
        <v>1.0</v>
      </c>
      <c r="B38" s="94" t="s">
        <v>29</v>
      </c>
      <c r="C38" s="95" t="s">
        <v>30</v>
      </c>
      <c r="D38" s="80" t="s">
        <v>31</v>
      </c>
      <c r="E38" s="94" t="s">
        <v>32</v>
      </c>
      <c r="F38" s="96" t="s">
        <v>33</v>
      </c>
      <c r="G38" s="80">
        <v>21.0</v>
      </c>
      <c r="H38" s="96">
        <v>10.0</v>
      </c>
      <c r="I38" s="85">
        <f t="shared" ref="I38:I52" si="2">(G38-H38)*1.2</f>
        <v>13.2</v>
      </c>
      <c r="J38" s="96">
        <v>13.0</v>
      </c>
    </row>
    <row r="39">
      <c r="A39" s="86">
        <v>2.0</v>
      </c>
      <c r="B39" s="94" t="s">
        <v>34</v>
      </c>
      <c r="C39" s="95" t="s">
        <v>35</v>
      </c>
      <c r="D39" s="80" t="s">
        <v>31</v>
      </c>
      <c r="E39" s="94" t="s">
        <v>32</v>
      </c>
      <c r="F39" s="96" t="s">
        <v>33</v>
      </c>
      <c r="G39" s="86">
        <v>33.0</v>
      </c>
      <c r="H39" s="97">
        <v>7.0</v>
      </c>
      <c r="I39" s="85">
        <f t="shared" si="2"/>
        <v>31.2</v>
      </c>
      <c r="J39" s="96">
        <v>31.0</v>
      </c>
    </row>
    <row r="40">
      <c r="A40" s="86">
        <v>3.0</v>
      </c>
      <c r="B40" s="94" t="s">
        <v>36</v>
      </c>
      <c r="C40" s="95" t="s">
        <v>37</v>
      </c>
      <c r="D40" s="80" t="s">
        <v>31</v>
      </c>
      <c r="E40" s="94" t="s">
        <v>32</v>
      </c>
      <c r="F40" s="96" t="s">
        <v>33</v>
      </c>
      <c r="G40" s="86">
        <v>45.0</v>
      </c>
      <c r="H40" s="97">
        <v>24.0</v>
      </c>
      <c r="I40" s="85">
        <f t="shared" si="2"/>
        <v>25.2</v>
      </c>
      <c r="J40" s="96">
        <v>25.0</v>
      </c>
    </row>
    <row r="41">
      <c r="A41" s="80">
        <v>4.0</v>
      </c>
      <c r="B41" s="94" t="s">
        <v>38</v>
      </c>
      <c r="C41" s="95" t="s">
        <v>39</v>
      </c>
      <c r="D41" s="80" t="s">
        <v>31</v>
      </c>
      <c r="E41" s="94" t="s">
        <v>32</v>
      </c>
      <c r="F41" s="96" t="s">
        <v>33</v>
      </c>
      <c r="G41" s="86">
        <v>8.0</v>
      </c>
      <c r="H41" s="96">
        <v>7.0</v>
      </c>
      <c r="I41" s="85">
        <f t="shared" si="2"/>
        <v>1.2</v>
      </c>
      <c r="J41" s="96">
        <v>1.0</v>
      </c>
    </row>
    <row r="42">
      <c r="A42" s="86">
        <v>5.0</v>
      </c>
      <c r="B42" s="94" t="s">
        <v>40</v>
      </c>
      <c r="C42" s="95" t="s">
        <v>41</v>
      </c>
      <c r="D42" s="80" t="s">
        <v>31</v>
      </c>
      <c r="E42" s="94" t="s">
        <v>32</v>
      </c>
      <c r="F42" s="96" t="s">
        <v>33</v>
      </c>
      <c r="G42" s="86">
        <v>6.0</v>
      </c>
      <c r="H42" s="97">
        <v>12.0</v>
      </c>
      <c r="I42" s="85">
        <f t="shared" si="2"/>
        <v>-7.2</v>
      </c>
      <c r="J42" s="98"/>
    </row>
    <row r="43">
      <c r="A43" s="99">
        <v>6.0</v>
      </c>
      <c r="B43" s="100" t="s">
        <v>42</v>
      </c>
      <c r="C43" s="101" t="s">
        <v>43</v>
      </c>
      <c r="D43" s="102" t="s">
        <v>44</v>
      </c>
      <c r="E43" s="100" t="s">
        <v>45</v>
      </c>
      <c r="F43" s="103" t="s">
        <v>33</v>
      </c>
      <c r="G43" s="102">
        <v>129.0</v>
      </c>
      <c r="H43" s="103">
        <v>21.0</v>
      </c>
      <c r="I43" s="104">
        <f t="shared" si="2"/>
        <v>129.6</v>
      </c>
      <c r="J43" s="103">
        <v>130.0</v>
      </c>
      <c r="K43" s="105" t="s">
        <v>46</v>
      </c>
    </row>
    <row r="44">
      <c r="A44" s="80">
        <v>7.0</v>
      </c>
      <c r="B44" s="96" t="s">
        <v>47</v>
      </c>
      <c r="C44" s="106" t="s">
        <v>48</v>
      </c>
      <c r="D44" s="80" t="s">
        <v>31</v>
      </c>
      <c r="E44" s="96" t="s">
        <v>49</v>
      </c>
      <c r="F44" s="96" t="s">
        <v>33</v>
      </c>
      <c r="G44" s="86">
        <v>70.0</v>
      </c>
      <c r="H44" s="96">
        <v>5.0</v>
      </c>
      <c r="I44" s="85">
        <f t="shared" si="2"/>
        <v>78</v>
      </c>
      <c r="J44" s="96">
        <v>78.0</v>
      </c>
    </row>
    <row r="45">
      <c r="A45" s="86">
        <v>8.0</v>
      </c>
      <c r="B45" s="96" t="s">
        <v>50</v>
      </c>
      <c r="C45" s="106" t="s">
        <v>30</v>
      </c>
      <c r="D45" s="80" t="s">
        <v>31</v>
      </c>
      <c r="E45" s="96" t="s">
        <v>49</v>
      </c>
      <c r="F45" s="96" t="s">
        <v>33</v>
      </c>
      <c r="G45" s="86">
        <v>25.0</v>
      </c>
      <c r="H45" s="96">
        <v>4.0</v>
      </c>
      <c r="I45" s="85">
        <f t="shared" si="2"/>
        <v>25.2</v>
      </c>
      <c r="J45" s="96">
        <v>25.0</v>
      </c>
    </row>
    <row r="46">
      <c r="A46" s="99">
        <v>9.0</v>
      </c>
      <c r="B46" s="107"/>
      <c r="C46" s="108" t="s">
        <v>51</v>
      </c>
      <c r="D46" s="102" t="s">
        <v>44</v>
      </c>
      <c r="E46" s="103" t="s">
        <v>52</v>
      </c>
      <c r="F46" s="103" t="s">
        <v>33</v>
      </c>
      <c r="G46" s="102">
        <v>4.0</v>
      </c>
      <c r="H46" s="103">
        <v>4.0</v>
      </c>
      <c r="I46" s="104">
        <f t="shared" si="2"/>
        <v>0</v>
      </c>
      <c r="J46" s="103">
        <v>2.0</v>
      </c>
      <c r="K46" s="105" t="s">
        <v>46</v>
      </c>
    </row>
    <row r="47">
      <c r="A47" s="80">
        <v>10.0</v>
      </c>
      <c r="B47" s="96" t="s">
        <v>53</v>
      </c>
      <c r="C47" s="106" t="s">
        <v>54</v>
      </c>
      <c r="D47" s="80" t="s">
        <v>31</v>
      </c>
      <c r="E47" s="96" t="s">
        <v>55</v>
      </c>
      <c r="F47" s="96" t="s">
        <v>33</v>
      </c>
      <c r="G47" s="86">
        <v>0.0</v>
      </c>
      <c r="H47" s="96">
        <v>4.0</v>
      </c>
      <c r="I47" s="85">
        <f t="shared" si="2"/>
        <v>-4.8</v>
      </c>
      <c r="J47" s="98"/>
    </row>
    <row r="48">
      <c r="A48" s="86">
        <v>11.0</v>
      </c>
      <c r="B48" s="96" t="s">
        <v>56</v>
      </c>
      <c r="C48" s="106" t="s">
        <v>57</v>
      </c>
      <c r="D48" s="80" t="s">
        <v>31</v>
      </c>
      <c r="E48" s="96" t="s">
        <v>58</v>
      </c>
      <c r="F48" s="96" t="s">
        <v>33</v>
      </c>
      <c r="G48" s="86">
        <v>3.0</v>
      </c>
      <c r="H48" s="96">
        <v>7.0</v>
      </c>
      <c r="I48" s="85">
        <f t="shared" si="2"/>
        <v>-4.8</v>
      </c>
      <c r="J48" s="98"/>
    </row>
    <row r="49">
      <c r="A49" s="86">
        <v>12.0</v>
      </c>
      <c r="B49" s="96" t="s">
        <v>59</v>
      </c>
      <c r="C49" s="106" t="s">
        <v>41</v>
      </c>
      <c r="D49" s="80" t="s">
        <v>31</v>
      </c>
      <c r="E49" s="96" t="s">
        <v>49</v>
      </c>
      <c r="F49" s="96" t="s">
        <v>33</v>
      </c>
      <c r="G49" s="86">
        <v>3.0</v>
      </c>
      <c r="H49" s="96">
        <v>0.0</v>
      </c>
      <c r="I49" s="85">
        <f t="shared" si="2"/>
        <v>3.6</v>
      </c>
      <c r="J49" s="96">
        <v>4.0</v>
      </c>
    </row>
    <row r="50">
      <c r="A50" s="80">
        <v>13.0</v>
      </c>
      <c r="B50" s="96" t="s">
        <v>60</v>
      </c>
      <c r="C50" s="106" t="s">
        <v>39</v>
      </c>
      <c r="D50" s="80" t="s">
        <v>31</v>
      </c>
      <c r="E50" s="96" t="s">
        <v>49</v>
      </c>
      <c r="F50" s="96" t="s">
        <v>33</v>
      </c>
      <c r="G50" s="86">
        <v>1.0</v>
      </c>
      <c r="H50" s="96">
        <v>0.0</v>
      </c>
      <c r="I50" s="85">
        <f t="shared" si="2"/>
        <v>1.2</v>
      </c>
      <c r="J50" s="96">
        <v>1.0</v>
      </c>
    </row>
    <row r="51">
      <c r="A51" s="86">
        <v>14.0</v>
      </c>
      <c r="B51" s="96" t="s">
        <v>61</v>
      </c>
      <c r="C51" s="106" t="s">
        <v>62</v>
      </c>
      <c r="D51" s="80" t="s">
        <v>31</v>
      </c>
      <c r="E51" s="96" t="s">
        <v>49</v>
      </c>
      <c r="F51" s="96" t="s">
        <v>33</v>
      </c>
      <c r="G51" s="86">
        <v>2.0</v>
      </c>
      <c r="H51" s="96">
        <v>3.0</v>
      </c>
      <c r="I51" s="85">
        <f t="shared" si="2"/>
        <v>-1.2</v>
      </c>
      <c r="J51" s="98"/>
    </row>
    <row r="52">
      <c r="A52" s="86">
        <v>15.0</v>
      </c>
      <c r="B52" s="96" t="s">
        <v>63</v>
      </c>
      <c r="C52" s="106" t="s">
        <v>64</v>
      </c>
      <c r="D52" s="80" t="s">
        <v>31</v>
      </c>
      <c r="E52" s="96" t="s">
        <v>49</v>
      </c>
      <c r="F52" s="96" t="s">
        <v>33</v>
      </c>
      <c r="G52" s="86">
        <v>15.0</v>
      </c>
      <c r="H52" s="96">
        <v>0.0</v>
      </c>
      <c r="I52" s="85">
        <f t="shared" si="2"/>
        <v>18</v>
      </c>
      <c r="J52" s="96">
        <v>18.0</v>
      </c>
    </row>
    <row r="53">
      <c r="A53" s="89"/>
      <c r="B53" s="89"/>
      <c r="C53" s="89"/>
      <c r="D53" s="89"/>
      <c r="E53" s="109"/>
      <c r="F53" s="89"/>
      <c r="G53" s="89"/>
      <c r="H53" s="89"/>
      <c r="I53" s="89"/>
      <c r="J53" s="89"/>
    </row>
    <row r="54">
      <c r="A54" s="110"/>
      <c r="B54" s="110"/>
      <c r="C54" s="110"/>
      <c r="D54" s="110"/>
      <c r="E54" s="111"/>
      <c r="F54" s="110"/>
      <c r="G54" s="110"/>
      <c r="H54" s="110"/>
      <c r="I54" s="110"/>
      <c r="J54" s="110"/>
    </row>
    <row r="55">
      <c r="A55" s="89"/>
      <c r="B55" s="89"/>
      <c r="C55" s="89"/>
      <c r="D55" s="89"/>
      <c r="E55" s="89"/>
      <c r="F55" s="89"/>
      <c r="G55" s="89"/>
      <c r="H55" s="89"/>
      <c r="I55" s="89"/>
      <c r="J55" s="89"/>
    </row>
    <row r="56">
      <c r="A56" s="89"/>
      <c r="B56" s="89"/>
      <c r="C56" s="89"/>
      <c r="D56" s="89"/>
      <c r="E56" s="89"/>
      <c r="F56" s="89"/>
      <c r="G56" s="89"/>
      <c r="H56" s="89"/>
      <c r="I56" s="89"/>
      <c r="J56" s="89"/>
    </row>
    <row r="57">
      <c r="A57" s="1" t="s">
        <v>65</v>
      </c>
    </row>
    <row r="58">
      <c r="A58" s="2" t="s">
        <v>1</v>
      </c>
      <c r="B58" s="2" t="s">
        <v>2</v>
      </c>
      <c r="C58" s="2" t="s">
        <v>3</v>
      </c>
      <c r="D58" s="2" t="s">
        <v>23</v>
      </c>
      <c r="E58" s="2" t="s">
        <v>5</v>
      </c>
      <c r="F58" s="2" t="s">
        <v>6</v>
      </c>
      <c r="G58" s="93" t="s">
        <v>24</v>
      </c>
      <c r="H58" s="2" t="s">
        <v>25</v>
      </c>
      <c r="I58" s="3" t="s">
        <v>26</v>
      </c>
      <c r="J58" s="78" t="s">
        <v>27</v>
      </c>
    </row>
    <row r="59">
      <c r="A59" s="9"/>
      <c r="B59" s="9"/>
      <c r="C59" s="9"/>
      <c r="D59" s="9"/>
      <c r="E59" s="9"/>
      <c r="F59" s="9"/>
      <c r="G59" s="9"/>
      <c r="H59" s="9"/>
      <c r="I59" s="9"/>
      <c r="J59" s="9"/>
    </row>
    <row r="60">
      <c r="A60" s="91">
        <v>1.0</v>
      </c>
      <c r="B60" s="91" t="s">
        <v>47</v>
      </c>
      <c r="C60" s="91" t="s">
        <v>48</v>
      </c>
      <c r="D60" s="80" t="s">
        <v>31</v>
      </c>
      <c r="E60" s="91" t="s">
        <v>49</v>
      </c>
      <c r="F60" s="91" t="s">
        <v>33</v>
      </c>
      <c r="G60" s="91">
        <v>30.0</v>
      </c>
      <c r="H60" s="82">
        <v>83.0</v>
      </c>
      <c r="I60" s="83">
        <f t="shared" ref="I60:I67" si="3">(G60-H60)*1.2</f>
        <v>-63.6</v>
      </c>
      <c r="J60" s="84"/>
    </row>
    <row r="61">
      <c r="A61" s="22">
        <v>2.0</v>
      </c>
      <c r="B61" s="112" t="s">
        <v>50</v>
      </c>
      <c r="C61" s="112" t="s">
        <v>30</v>
      </c>
      <c r="D61" s="80" t="s">
        <v>31</v>
      </c>
      <c r="E61" s="112" t="s">
        <v>49</v>
      </c>
      <c r="F61" s="112" t="s">
        <v>33</v>
      </c>
      <c r="G61" s="84">
        <v>25.0</v>
      </c>
      <c r="H61" s="87">
        <v>29.0</v>
      </c>
      <c r="I61" s="83">
        <f t="shared" si="3"/>
        <v>-4.8</v>
      </c>
      <c r="J61" s="84"/>
    </row>
    <row r="62">
      <c r="A62" s="91">
        <v>3.0</v>
      </c>
      <c r="B62" s="112" t="s">
        <v>59</v>
      </c>
      <c r="C62" s="112" t="s">
        <v>41</v>
      </c>
      <c r="D62" s="80" t="s">
        <v>31</v>
      </c>
      <c r="E62" s="112" t="s">
        <v>49</v>
      </c>
      <c r="F62" s="112" t="s">
        <v>33</v>
      </c>
      <c r="G62" s="84">
        <v>5.0</v>
      </c>
      <c r="H62" s="87">
        <v>4.0</v>
      </c>
      <c r="I62" s="83">
        <f t="shared" si="3"/>
        <v>1.2</v>
      </c>
      <c r="J62" s="84">
        <v>2.0</v>
      </c>
    </row>
    <row r="63">
      <c r="A63" s="22">
        <v>4.0</v>
      </c>
      <c r="B63" s="112" t="s">
        <v>60</v>
      </c>
      <c r="C63" s="112" t="s">
        <v>39</v>
      </c>
      <c r="D63" s="80" t="s">
        <v>31</v>
      </c>
      <c r="E63" s="112" t="s">
        <v>49</v>
      </c>
      <c r="F63" s="112" t="s">
        <v>33</v>
      </c>
      <c r="G63" s="84">
        <v>3.0</v>
      </c>
      <c r="H63" s="87">
        <v>1.0</v>
      </c>
      <c r="I63" s="83">
        <f t="shared" si="3"/>
        <v>2.4</v>
      </c>
      <c r="J63" s="84">
        <v>3.0</v>
      </c>
    </row>
    <row r="64">
      <c r="A64" s="91">
        <v>5.0</v>
      </c>
      <c r="B64" s="112" t="s">
        <v>61</v>
      </c>
      <c r="C64" s="112" t="s">
        <v>62</v>
      </c>
      <c r="D64" s="80" t="s">
        <v>31</v>
      </c>
      <c r="E64" s="112" t="s">
        <v>49</v>
      </c>
      <c r="F64" s="112" t="s">
        <v>33</v>
      </c>
      <c r="G64" s="84">
        <v>5.0</v>
      </c>
      <c r="H64" s="87">
        <v>3.0</v>
      </c>
      <c r="I64" s="83">
        <f t="shared" si="3"/>
        <v>2.4</v>
      </c>
      <c r="J64" s="84">
        <v>3.0</v>
      </c>
    </row>
    <row r="65">
      <c r="A65" s="22">
        <v>6.0</v>
      </c>
      <c r="B65" s="112" t="s">
        <v>63</v>
      </c>
      <c r="C65" s="112" t="s">
        <v>64</v>
      </c>
      <c r="D65" s="80" t="s">
        <v>31</v>
      </c>
      <c r="E65" s="112" t="s">
        <v>49</v>
      </c>
      <c r="F65" s="112" t="s">
        <v>33</v>
      </c>
      <c r="G65" s="84">
        <v>10.0</v>
      </c>
      <c r="H65" s="87">
        <v>18.0</v>
      </c>
      <c r="I65" s="83">
        <f t="shared" si="3"/>
        <v>-9.6</v>
      </c>
      <c r="J65" s="83"/>
    </row>
    <row r="66">
      <c r="A66" s="91">
        <v>7.0</v>
      </c>
      <c r="B66" s="112" t="s">
        <v>66</v>
      </c>
      <c r="C66" s="112" t="s">
        <v>37</v>
      </c>
      <c r="D66" s="80" t="s">
        <v>31</v>
      </c>
      <c r="E66" s="112" t="s">
        <v>49</v>
      </c>
      <c r="F66" s="112" t="s">
        <v>33</v>
      </c>
      <c r="G66" s="84">
        <v>35.0</v>
      </c>
      <c r="H66" s="87">
        <v>0.0</v>
      </c>
      <c r="I66" s="83">
        <f t="shared" si="3"/>
        <v>42</v>
      </c>
      <c r="J66" s="84">
        <v>38.0</v>
      </c>
    </row>
    <row r="67">
      <c r="A67" s="22">
        <v>8.0</v>
      </c>
      <c r="B67" s="84" t="s">
        <v>67</v>
      </c>
      <c r="C67" s="84" t="s">
        <v>68</v>
      </c>
      <c r="D67" s="80" t="s">
        <v>31</v>
      </c>
      <c r="E67" s="112" t="s">
        <v>49</v>
      </c>
      <c r="F67" s="112" t="s">
        <v>33</v>
      </c>
      <c r="G67" s="84">
        <v>40.0</v>
      </c>
      <c r="H67" s="84">
        <v>0.0</v>
      </c>
      <c r="I67" s="83">
        <f t="shared" si="3"/>
        <v>48</v>
      </c>
      <c r="J67" s="84">
        <v>46.0</v>
      </c>
    </row>
    <row r="68">
      <c r="A68" s="92"/>
      <c r="B68" s="92"/>
      <c r="C68" s="92"/>
      <c r="D68" s="92"/>
      <c r="E68" s="92"/>
      <c r="F68" s="92"/>
      <c r="G68" s="92"/>
      <c r="H68" s="92"/>
      <c r="I68" s="92"/>
      <c r="J68" s="92"/>
    </row>
    <row r="70">
      <c r="A70" s="75"/>
      <c r="B70" s="75"/>
      <c r="C70" s="75"/>
      <c r="D70" s="75"/>
      <c r="E70" s="75"/>
      <c r="F70" s="75"/>
      <c r="G70" s="75"/>
      <c r="H70" s="75"/>
      <c r="I70" s="75"/>
      <c r="J70" s="75"/>
    </row>
  </sheetData>
  <mergeCells count="33">
    <mergeCell ref="I58:I59"/>
    <mergeCell ref="J58:J59"/>
    <mergeCell ref="A57:J57"/>
    <mergeCell ref="A58:A59"/>
    <mergeCell ref="B58:B59"/>
    <mergeCell ref="C58:C59"/>
    <mergeCell ref="D58:D59"/>
    <mergeCell ref="E58:E59"/>
    <mergeCell ref="F58:F59"/>
    <mergeCell ref="G2:G3"/>
    <mergeCell ref="H2:H3"/>
    <mergeCell ref="I2:I3"/>
    <mergeCell ref="J2:J3"/>
    <mergeCell ref="A1:J1"/>
    <mergeCell ref="A2:A3"/>
    <mergeCell ref="B2:B3"/>
    <mergeCell ref="C2:C3"/>
    <mergeCell ref="D2:D3"/>
    <mergeCell ref="E2:E3"/>
    <mergeCell ref="F2:F3"/>
    <mergeCell ref="G36:G37"/>
    <mergeCell ref="H36:H37"/>
    <mergeCell ref="I36:I37"/>
    <mergeCell ref="J36:J37"/>
    <mergeCell ref="A35:J35"/>
    <mergeCell ref="A36:A37"/>
    <mergeCell ref="B36:B37"/>
    <mergeCell ref="C36:C37"/>
    <mergeCell ref="D36:D37"/>
    <mergeCell ref="E36:E37"/>
    <mergeCell ref="F36:F37"/>
    <mergeCell ref="G58:G59"/>
    <mergeCell ref="H58:H59"/>
  </mergeCells>
  <conditionalFormatting sqref="I4:I12 I38:I56 I58:I68">
    <cfRule type="cellIs" dxfId="0" priority="1" operator="lessThan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3" max="3" width="30.13"/>
    <col customWidth="1" min="4" max="4" width="23.13"/>
  </cols>
  <sheetData>
    <row r="1">
      <c r="A1" s="113" t="s">
        <v>69</v>
      </c>
    </row>
    <row r="2">
      <c r="A2" s="3" t="s">
        <v>1</v>
      </c>
      <c r="B2" s="3" t="s">
        <v>2</v>
      </c>
      <c r="C2" s="3" t="s">
        <v>3</v>
      </c>
      <c r="D2" s="3" t="s">
        <v>23</v>
      </c>
      <c r="E2" s="3" t="s">
        <v>5</v>
      </c>
      <c r="F2" s="3" t="s">
        <v>6</v>
      </c>
      <c r="G2" s="78" t="s">
        <v>7</v>
      </c>
      <c r="H2" s="3" t="s">
        <v>70</v>
      </c>
      <c r="I2" s="3" t="s">
        <v>71</v>
      </c>
      <c r="J2" s="1" t="s">
        <v>72</v>
      </c>
    </row>
    <row r="3">
      <c r="A3" s="9"/>
      <c r="B3" s="9"/>
      <c r="C3" s="9"/>
      <c r="D3" s="9"/>
      <c r="E3" s="9"/>
      <c r="F3" s="9"/>
      <c r="G3" s="9"/>
      <c r="H3" s="9"/>
      <c r="I3" s="9"/>
    </row>
    <row r="4">
      <c r="A4" s="91">
        <v>1.0</v>
      </c>
      <c r="B4" s="91" t="str">
        <f t="array" ref="B4:B9">UNIQUE('Dự trù'!B4:B15)</f>
        <v>abcd</v>
      </c>
      <c r="C4" s="91" t="str">
        <f>'Dự trù'!C4</f>
        <v>abcd</v>
      </c>
      <c r="D4" s="91" t="str">
        <f>'Dự trù'!D4</f>
        <v>abcd</v>
      </c>
      <c r="E4" s="91" t="str">
        <f>'Dự trù'!E4</f>
        <v>abcd</v>
      </c>
      <c r="F4" s="91" t="str">
        <f>'Dự trù'!F4</f>
        <v>abcd</v>
      </c>
      <c r="G4" s="83">
        <f>SUMIF('Dự trù'!B4:B14, B4, 'Dự trù'!J4:J14)</f>
        <v>3</v>
      </c>
      <c r="H4" s="114">
        <v>3.0</v>
      </c>
      <c r="I4" s="115">
        <f t="shared" ref="I4:I5" si="1">G4-H4</f>
        <v>0</v>
      </c>
    </row>
    <row r="5">
      <c r="A5" s="89"/>
      <c r="B5" s="112" t="s">
        <v>16</v>
      </c>
      <c r="C5" s="91" t="str">
        <f>'Dự trù'!C5</f>
        <v>abcd1</v>
      </c>
      <c r="D5" s="91" t="str">
        <f>'Dự trù'!D5</f>
        <v>abcd1</v>
      </c>
      <c r="E5" s="91" t="str">
        <f>'Dự trù'!E5</f>
        <v>abcd1</v>
      </c>
      <c r="F5" s="91" t="str">
        <f>'Dự trù'!F5</f>
        <v>abcd1</v>
      </c>
      <c r="G5" s="83">
        <f>SUMIF('Dự trù'!B5:B15, B5, 'Dự trù'!J5:J15)</f>
        <v>5</v>
      </c>
      <c r="H5" s="116">
        <v>4.0</v>
      </c>
      <c r="I5" s="117">
        <f t="shared" si="1"/>
        <v>1</v>
      </c>
      <c r="J5" s="118" t="s">
        <v>73</v>
      </c>
    </row>
    <row r="6">
      <c r="A6" s="89"/>
      <c r="B6" s="90" t="s">
        <v>18</v>
      </c>
      <c r="C6" s="91" t="str">
        <f>'Dự trù'!C6</f>
        <v>abcd2</v>
      </c>
      <c r="D6" s="91" t="str">
        <f>'Dự trù'!D6</f>
        <v>abcd2</v>
      </c>
      <c r="E6" s="91" t="str">
        <f>'Dự trù'!E6</f>
        <v>abcd2</v>
      </c>
      <c r="F6" s="91" t="str">
        <f>'Dự trù'!F6</f>
        <v>abcd2</v>
      </c>
      <c r="G6" s="83">
        <f>SUMIF('Dự trù'!B6:B16, B6, 'Dự trù'!J6:J16)</f>
        <v>0</v>
      </c>
      <c r="H6" s="117"/>
      <c r="I6" s="117"/>
    </row>
    <row r="7">
      <c r="A7" s="89"/>
      <c r="B7" s="90" t="s">
        <v>20</v>
      </c>
      <c r="C7" s="91" t="str">
        <f>'Dự trù'!C7</f>
        <v>abcd3</v>
      </c>
      <c r="D7" s="91" t="str">
        <f>'Dự trù'!D7</f>
        <v>abcd3</v>
      </c>
      <c r="E7" s="91" t="str">
        <f>'Dự trù'!E7</f>
        <v>abcd3</v>
      </c>
      <c r="F7" s="91" t="str">
        <f>'Dự trù'!F7</f>
        <v>abcd3</v>
      </c>
      <c r="G7" s="83">
        <f>SUMIF('Dự trù'!B7:B17, B7, 'Dự trù'!J7:J17)</f>
        <v>0</v>
      </c>
      <c r="H7" s="117"/>
      <c r="I7" s="117"/>
    </row>
    <row r="8">
      <c r="A8" s="89"/>
      <c r="B8" s="90" t="s">
        <v>21</v>
      </c>
      <c r="C8" s="91" t="str">
        <f>'Dự trù'!C8</f>
        <v>abcd4</v>
      </c>
      <c r="D8" s="91" t="str">
        <f>'Dự trù'!D8</f>
        <v>abcd4</v>
      </c>
      <c r="E8" s="91" t="str">
        <f>'Dự trù'!E8</f>
        <v>abcd4</v>
      </c>
      <c r="F8" s="91" t="str">
        <f>'Dự trù'!F8</f>
        <v>abcd4</v>
      </c>
      <c r="G8" s="83">
        <f>SUMIF('Dự trù'!B8:B18, B8, 'Dự trù'!J8:J18)</f>
        <v>0</v>
      </c>
      <c r="H8" s="117"/>
      <c r="I8" s="117"/>
    </row>
    <row r="9">
      <c r="A9" s="89"/>
      <c r="B9" s="90"/>
      <c r="C9" s="90"/>
      <c r="D9" s="90"/>
      <c r="E9" s="90"/>
      <c r="F9" s="83"/>
      <c r="G9" s="83"/>
      <c r="H9" s="117"/>
      <c r="I9" s="117"/>
    </row>
    <row r="10">
      <c r="A10" s="89"/>
      <c r="B10" s="90"/>
      <c r="C10" s="90"/>
      <c r="D10" s="90"/>
      <c r="E10" s="90"/>
      <c r="F10" s="83"/>
      <c r="G10" s="83"/>
      <c r="H10" s="117"/>
      <c r="I10" s="117"/>
    </row>
    <row r="11">
      <c r="A11" s="83"/>
      <c r="B11" s="83"/>
      <c r="C11" s="83"/>
      <c r="D11" s="83"/>
      <c r="E11" s="83"/>
      <c r="F11" s="83"/>
      <c r="G11" s="83"/>
      <c r="H11" s="117"/>
      <c r="I11" s="117"/>
    </row>
    <row r="12">
      <c r="A12" s="92"/>
      <c r="B12" s="92"/>
      <c r="C12" s="92"/>
      <c r="D12" s="92"/>
      <c r="E12" s="92"/>
      <c r="F12" s="92"/>
      <c r="G12" s="92"/>
      <c r="H12" s="119"/>
      <c r="I12" s="119"/>
    </row>
    <row r="14">
      <c r="A14" s="75"/>
      <c r="B14" s="75"/>
      <c r="C14" s="75"/>
      <c r="D14" s="75"/>
      <c r="E14" s="75"/>
      <c r="F14" s="75"/>
      <c r="G14" s="75"/>
      <c r="H14" s="75"/>
      <c r="I14" s="75"/>
      <c r="J14" s="75"/>
    </row>
    <row r="17">
      <c r="A17" s="113" t="s">
        <v>74</v>
      </c>
    </row>
    <row r="18">
      <c r="A18" s="3" t="s">
        <v>1</v>
      </c>
      <c r="B18" s="3" t="s">
        <v>2</v>
      </c>
      <c r="C18" s="3" t="s">
        <v>3</v>
      </c>
      <c r="D18" s="3" t="s">
        <v>23</v>
      </c>
      <c r="E18" s="3" t="s">
        <v>5</v>
      </c>
      <c r="F18" s="3" t="s">
        <v>6</v>
      </c>
      <c r="G18" s="78" t="s">
        <v>7</v>
      </c>
      <c r="H18" s="3" t="s">
        <v>70</v>
      </c>
      <c r="I18" s="3" t="s">
        <v>71</v>
      </c>
      <c r="J18" s="1" t="s">
        <v>72</v>
      </c>
    </row>
    <row r="19">
      <c r="A19" s="9"/>
      <c r="B19" s="9"/>
      <c r="C19" s="9"/>
      <c r="D19" s="9"/>
      <c r="E19" s="9"/>
      <c r="F19" s="9"/>
      <c r="G19" s="9"/>
      <c r="H19" s="9"/>
      <c r="I19" s="9"/>
    </row>
    <row r="20">
      <c r="A20" s="91">
        <v>1.0</v>
      </c>
      <c r="B20" s="91" t="s">
        <v>29</v>
      </c>
      <c r="C20" s="120" t="s">
        <v>30</v>
      </c>
      <c r="D20" s="82" t="s">
        <v>31</v>
      </c>
      <c r="E20" s="81" t="s">
        <v>75</v>
      </c>
      <c r="F20" s="91" t="s">
        <v>33</v>
      </c>
      <c r="G20" s="112">
        <v>4.0</v>
      </c>
      <c r="H20" s="121">
        <f t="shared" ref="H20:H30" si="2">G20</f>
        <v>4</v>
      </c>
      <c r="I20" s="18">
        <f t="shared" ref="I20:I29" si="3">G20-H20</f>
        <v>0</v>
      </c>
    </row>
    <row r="21">
      <c r="A21" s="22">
        <v>2.0</v>
      </c>
      <c r="B21" s="112" t="s">
        <v>50</v>
      </c>
      <c r="C21" s="122" t="s">
        <v>30</v>
      </c>
      <c r="D21" s="82" t="s">
        <v>31</v>
      </c>
      <c r="E21" s="22" t="s">
        <v>75</v>
      </c>
      <c r="F21" s="84" t="s">
        <v>33</v>
      </c>
      <c r="G21" s="112">
        <v>4.0</v>
      </c>
      <c r="H21" s="121">
        <f t="shared" si="2"/>
        <v>4</v>
      </c>
      <c r="I21" s="23">
        <f t="shared" si="3"/>
        <v>0</v>
      </c>
      <c r="J21" s="118" t="s">
        <v>73</v>
      </c>
    </row>
    <row r="22">
      <c r="A22" s="91">
        <v>3.0</v>
      </c>
      <c r="B22" s="112" t="s">
        <v>76</v>
      </c>
      <c r="C22" s="122" t="s">
        <v>48</v>
      </c>
      <c r="D22" s="82" t="s">
        <v>31</v>
      </c>
      <c r="E22" s="22" t="s">
        <v>75</v>
      </c>
      <c r="F22" s="84" t="s">
        <v>33</v>
      </c>
      <c r="G22" s="112">
        <v>5.0</v>
      </c>
      <c r="H22" s="121">
        <f t="shared" si="2"/>
        <v>5</v>
      </c>
      <c r="I22" s="23">
        <f t="shared" si="3"/>
        <v>0</v>
      </c>
    </row>
    <row r="23">
      <c r="A23" s="22">
        <v>4.0</v>
      </c>
      <c r="B23" s="112" t="s">
        <v>47</v>
      </c>
      <c r="C23" s="122" t="s">
        <v>48</v>
      </c>
      <c r="D23" s="82" t="s">
        <v>31</v>
      </c>
      <c r="E23" s="22" t="s">
        <v>77</v>
      </c>
      <c r="F23" s="84" t="s">
        <v>33</v>
      </c>
      <c r="G23" s="112">
        <v>5.0</v>
      </c>
      <c r="H23" s="121">
        <f t="shared" si="2"/>
        <v>5</v>
      </c>
      <c r="I23" s="23">
        <f t="shared" si="3"/>
        <v>0</v>
      </c>
    </row>
    <row r="24">
      <c r="A24" s="91">
        <v>5.0</v>
      </c>
      <c r="B24" s="112" t="s">
        <v>78</v>
      </c>
      <c r="C24" s="122" t="s">
        <v>62</v>
      </c>
      <c r="D24" s="82" t="s">
        <v>31</v>
      </c>
      <c r="E24" s="22" t="s">
        <v>75</v>
      </c>
      <c r="F24" s="84" t="s">
        <v>33</v>
      </c>
      <c r="G24" s="112">
        <v>3.0</v>
      </c>
      <c r="H24" s="121">
        <f t="shared" si="2"/>
        <v>3</v>
      </c>
      <c r="I24" s="23">
        <f t="shared" si="3"/>
        <v>0</v>
      </c>
    </row>
    <row r="25">
      <c r="A25" s="22">
        <v>6.0</v>
      </c>
      <c r="B25" s="112" t="s">
        <v>61</v>
      </c>
      <c r="C25" s="122" t="s">
        <v>62</v>
      </c>
      <c r="D25" s="82" t="s">
        <v>31</v>
      </c>
      <c r="E25" s="22" t="s">
        <v>77</v>
      </c>
      <c r="F25" s="84" t="s">
        <v>33</v>
      </c>
      <c r="G25" s="112">
        <v>3.0</v>
      </c>
      <c r="H25" s="121">
        <f t="shared" si="2"/>
        <v>3</v>
      </c>
      <c r="I25" s="23">
        <f t="shared" si="3"/>
        <v>0</v>
      </c>
    </row>
    <row r="26">
      <c r="A26" s="91">
        <v>7.0</v>
      </c>
      <c r="B26" s="112" t="s">
        <v>38</v>
      </c>
      <c r="C26" s="122" t="s">
        <v>39</v>
      </c>
      <c r="D26" s="82" t="s">
        <v>31</v>
      </c>
      <c r="E26" s="22" t="s">
        <v>79</v>
      </c>
      <c r="F26" s="84" t="s">
        <v>33</v>
      </c>
      <c r="G26" s="112">
        <v>3.0</v>
      </c>
      <c r="H26" s="121">
        <f t="shared" si="2"/>
        <v>3</v>
      </c>
      <c r="I26" s="23">
        <f t="shared" si="3"/>
        <v>0</v>
      </c>
    </row>
    <row r="27">
      <c r="A27" s="22">
        <v>8.0</v>
      </c>
      <c r="B27" s="84" t="s">
        <v>40</v>
      </c>
      <c r="C27" s="122" t="s">
        <v>41</v>
      </c>
      <c r="D27" s="82" t="s">
        <v>31</v>
      </c>
      <c r="E27" s="87" t="s">
        <v>75</v>
      </c>
      <c r="F27" s="84" t="s">
        <v>33</v>
      </c>
      <c r="G27" s="112">
        <v>5.0</v>
      </c>
      <c r="H27" s="121">
        <f t="shared" si="2"/>
        <v>5</v>
      </c>
      <c r="I27" s="23">
        <f t="shared" si="3"/>
        <v>0</v>
      </c>
    </row>
    <row r="28">
      <c r="A28" s="91">
        <v>9.0</v>
      </c>
      <c r="B28" s="84" t="s">
        <v>80</v>
      </c>
      <c r="C28" s="122" t="s">
        <v>81</v>
      </c>
      <c r="D28" s="82" t="s">
        <v>31</v>
      </c>
      <c r="E28" s="87" t="s">
        <v>82</v>
      </c>
      <c r="F28" s="84" t="s">
        <v>33</v>
      </c>
      <c r="G28" s="112">
        <v>2.0</v>
      </c>
      <c r="H28" s="121">
        <f t="shared" si="2"/>
        <v>2</v>
      </c>
      <c r="I28" s="23">
        <f t="shared" si="3"/>
        <v>0</v>
      </c>
    </row>
    <row r="29">
      <c r="A29" s="22">
        <v>10.0</v>
      </c>
      <c r="B29" s="84" t="s">
        <v>53</v>
      </c>
      <c r="C29" s="123" t="s">
        <v>83</v>
      </c>
      <c r="D29" s="82" t="s">
        <v>31</v>
      </c>
      <c r="E29" s="87" t="s">
        <v>55</v>
      </c>
      <c r="F29" s="84" t="s">
        <v>33</v>
      </c>
      <c r="G29" s="112">
        <v>4.0</v>
      </c>
      <c r="H29" s="121">
        <f t="shared" si="2"/>
        <v>4</v>
      </c>
      <c r="I29" s="23">
        <f t="shared" si="3"/>
        <v>0</v>
      </c>
    </row>
    <row r="30">
      <c r="A30" s="124">
        <v>11.0</v>
      </c>
      <c r="B30" s="124" t="s">
        <v>56</v>
      </c>
      <c r="C30" s="125" t="s">
        <v>84</v>
      </c>
      <c r="D30" s="126" t="s">
        <v>31</v>
      </c>
      <c r="E30" s="127" t="s">
        <v>58</v>
      </c>
      <c r="F30" s="124" t="s">
        <v>33</v>
      </c>
      <c r="G30" s="128">
        <v>5.0</v>
      </c>
      <c r="H30" s="129">
        <f t="shared" si="2"/>
        <v>5</v>
      </c>
      <c r="I30" s="130">
        <v>0.0</v>
      </c>
    </row>
    <row r="31">
      <c r="A31" s="89"/>
      <c r="B31" s="22"/>
      <c r="C31" s="89"/>
      <c r="D31" s="89"/>
      <c r="E31" s="89"/>
      <c r="F31" s="89"/>
      <c r="G31" s="89"/>
      <c r="J31" s="118"/>
    </row>
    <row r="32">
      <c r="A32" s="75"/>
      <c r="B32" s="75"/>
      <c r="C32" s="75"/>
      <c r="D32" s="75"/>
      <c r="E32" s="75"/>
      <c r="F32" s="75"/>
      <c r="G32" s="75"/>
      <c r="H32" s="75"/>
      <c r="I32" s="75"/>
      <c r="J32" s="75"/>
    </row>
    <row r="35">
      <c r="A35" s="113" t="s">
        <v>85</v>
      </c>
    </row>
    <row r="36">
      <c r="A36" s="3" t="s">
        <v>1</v>
      </c>
      <c r="B36" s="3" t="s">
        <v>2</v>
      </c>
      <c r="C36" s="3" t="s">
        <v>3</v>
      </c>
      <c r="D36" s="3" t="s">
        <v>23</v>
      </c>
      <c r="E36" s="3" t="s">
        <v>5</v>
      </c>
      <c r="F36" s="3" t="s">
        <v>6</v>
      </c>
      <c r="G36" s="78" t="s">
        <v>7</v>
      </c>
      <c r="H36" s="3" t="s">
        <v>70</v>
      </c>
      <c r="I36" s="3" t="s">
        <v>71</v>
      </c>
      <c r="J36" s="1" t="s">
        <v>72</v>
      </c>
      <c r="K36" s="131">
        <v>46086.0</v>
      </c>
    </row>
    <row r="37">
      <c r="A37" s="9"/>
      <c r="B37" s="9"/>
      <c r="C37" s="9"/>
      <c r="D37" s="9"/>
      <c r="E37" s="9"/>
      <c r="F37" s="9"/>
      <c r="G37" s="9"/>
      <c r="H37" s="9"/>
      <c r="I37" s="9"/>
    </row>
    <row r="38">
      <c r="A38" s="91">
        <v>1.0</v>
      </c>
      <c r="B38" s="91" t="s">
        <v>29</v>
      </c>
      <c r="C38" s="91" t="s">
        <v>30</v>
      </c>
      <c r="D38" s="91" t="s">
        <v>31</v>
      </c>
      <c r="E38" s="91" t="s">
        <v>79</v>
      </c>
      <c r="F38" s="91" t="s">
        <v>33</v>
      </c>
      <c r="G38" s="83">
        <f>SUMIF('Dự trù'!B38:B52, B38, 'Dự trù'!J38:J52)</f>
        <v>13</v>
      </c>
      <c r="H38" s="132">
        <v>13.0</v>
      </c>
      <c r="I38" s="117">
        <f t="shared" ref="I38:I46" si="4">G38-H38</f>
        <v>0</v>
      </c>
    </row>
    <row r="39">
      <c r="A39" s="22">
        <v>2.0</v>
      </c>
      <c r="B39" s="112" t="s">
        <v>34</v>
      </c>
      <c r="C39" s="112" t="s">
        <v>68</v>
      </c>
      <c r="D39" s="112" t="s">
        <v>31</v>
      </c>
      <c r="E39" s="112" t="s">
        <v>79</v>
      </c>
      <c r="F39" s="84" t="s">
        <v>33</v>
      </c>
      <c r="G39" s="83">
        <f>SUMIF('Dự trù'!B39:B53, B39, 'Dự trù'!J39:J53)</f>
        <v>31</v>
      </c>
      <c r="H39" s="116">
        <v>31.0</v>
      </c>
      <c r="I39" s="117">
        <f t="shared" si="4"/>
        <v>0</v>
      </c>
      <c r="J39" s="118" t="s">
        <v>86</v>
      </c>
    </row>
    <row r="40">
      <c r="A40" s="22">
        <v>3.0</v>
      </c>
      <c r="B40" s="112" t="s">
        <v>36</v>
      </c>
      <c r="C40" s="112" t="s">
        <v>37</v>
      </c>
      <c r="D40" s="112" t="s">
        <v>31</v>
      </c>
      <c r="E40" s="112" t="s">
        <v>79</v>
      </c>
      <c r="F40" s="84" t="s">
        <v>33</v>
      </c>
      <c r="G40" s="83">
        <f>SUMIF('Dự trù'!B40:B54, B40, 'Dự trù'!J40:J54)</f>
        <v>25</v>
      </c>
      <c r="H40" s="116">
        <v>25.0</v>
      </c>
      <c r="I40" s="117">
        <f t="shared" si="4"/>
        <v>0</v>
      </c>
    </row>
    <row r="41">
      <c r="A41" s="91">
        <v>4.0</v>
      </c>
      <c r="B41" s="112" t="s">
        <v>38</v>
      </c>
      <c r="C41" s="112" t="s">
        <v>39</v>
      </c>
      <c r="D41" s="112" t="s">
        <v>31</v>
      </c>
      <c r="E41" s="112" t="s">
        <v>79</v>
      </c>
      <c r="F41" s="84" t="s">
        <v>33</v>
      </c>
      <c r="G41" s="83">
        <f>SUMIF('Dự trù'!B41:B55, B41, 'Dự trù'!J41:J55)</f>
        <v>1</v>
      </c>
      <c r="H41" s="116">
        <v>1.0</v>
      </c>
      <c r="I41" s="117">
        <f t="shared" si="4"/>
        <v>0</v>
      </c>
    </row>
    <row r="42">
      <c r="A42" s="22">
        <v>5.0</v>
      </c>
      <c r="B42" s="112" t="s">
        <v>47</v>
      </c>
      <c r="C42" s="112" t="s">
        <v>48</v>
      </c>
      <c r="D42" s="112" t="s">
        <v>31</v>
      </c>
      <c r="E42" s="112" t="s">
        <v>87</v>
      </c>
      <c r="F42" s="84" t="s">
        <v>33</v>
      </c>
      <c r="G42" s="83">
        <f>SUMIF('Dự trù'!B42:B56, B42, 'Dự trù'!J42:J56)</f>
        <v>78</v>
      </c>
      <c r="H42" s="116">
        <v>30.0</v>
      </c>
      <c r="I42" s="117">
        <f t="shared" si="4"/>
        <v>48</v>
      </c>
    </row>
    <row r="43">
      <c r="A43" s="22">
        <v>6.0</v>
      </c>
      <c r="B43" s="112" t="s">
        <v>50</v>
      </c>
      <c r="C43" s="112" t="s">
        <v>30</v>
      </c>
      <c r="D43" s="112" t="s">
        <v>31</v>
      </c>
      <c r="E43" s="112" t="s">
        <v>87</v>
      </c>
      <c r="F43" s="84" t="s">
        <v>33</v>
      </c>
      <c r="G43" s="83">
        <f>SUMIF('Dự trù'!B43:B57, B43, 'Dự trù'!J43:J57)</f>
        <v>25</v>
      </c>
      <c r="H43" s="116">
        <v>25.0</v>
      </c>
      <c r="I43" s="117">
        <f t="shared" si="4"/>
        <v>0</v>
      </c>
    </row>
    <row r="44">
      <c r="A44" s="91">
        <v>7.0</v>
      </c>
      <c r="B44" s="112" t="s">
        <v>59</v>
      </c>
      <c r="C44" s="112" t="s">
        <v>41</v>
      </c>
      <c r="D44" s="112" t="s">
        <v>31</v>
      </c>
      <c r="E44" s="112" t="s">
        <v>87</v>
      </c>
      <c r="F44" s="84" t="s">
        <v>33</v>
      </c>
      <c r="G44" s="83">
        <f>SUMIF('Dự trù'!B44:B58, B44, 'Dự trù'!J44:J58)</f>
        <v>4</v>
      </c>
      <c r="H44" s="116">
        <v>4.0</v>
      </c>
      <c r="I44" s="117">
        <f t="shared" si="4"/>
        <v>0</v>
      </c>
    </row>
    <row r="45">
      <c r="A45" s="22">
        <v>8.0</v>
      </c>
      <c r="B45" s="84" t="s">
        <v>60</v>
      </c>
      <c r="C45" s="84" t="s">
        <v>39</v>
      </c>
      <c r="D45" s="112" t="s">
        <v>31</v>
      </c>
      <c r="E45" s="84" t="s">
        <v>87</v>
      </c>
      <c r="F45" s="84" t="s">
        <v>33</v>
      </c>
      <c r="G45" s="83">
        <f>SUMIF('Dự trù'!B45:B59, B45, 'Dự trù'!J45:J59)</f>
        <v>1</v>
      </c>
      <c r="H45" s="116">
        <v>1.0</v>
      </c>
      <c r="I45" s="117">
        <f t="shared" si="4"/>
        <v>0</v>
      </c>
    </row>
    <row r="46">
      <c r="A46" s="28">
        <v>9.0</v>
      </c>
      <c r="B46" s="124" t="s">
        <v>63</v>
      </c>
      <c r="C46" s="124" t="s">
        <v>88</v>
      </c>
      <c r="D46" s="124" t="s">
        <v>31</v>
      </c>
      <c r="E46" s="124" t="s">
        <v>87</v>
      </c>
      <c r="F46" s="124" t="s">
        <v>33</v>
      </c>
      <c r="G46" s="92">
        <f>SUMIF('Dự trù'!B46:B60, B46, 'Dự trù'!J46:J60)</f>
        <v>18</v>
      </c>
      <c r="H46" s="129">
        <v>18.0</v>
      </c>
      <c r="I46" s="119">
        <f t="shared" si="4"/>
        <v>0</v>
      </c>
    </row>
    <row r="48">
      <c r="A48" s="75"/>
      <c r="B48" s="75"/>
      <c r="C48" s="75"/>
      <c r="D48" s="75"/>
      <c r="E48" s="75"/>
      <c r="F48" s="75"/>
      <c r="G48" s="75"/>
      <c r="H48" s="75"/>
      <c r="I48" s="75"/>
      <c r="J48" s="75"/>
    </row>
    <row r="57">
      <c r="A57" s="113" t="s">
        <v>89</v>
      </c>
    </row>
    <row r="58">
      <c r="A58" s="3" t="s">
        <v>1</v>
      </c>
      <c r="B58" s="3" t="s">
        <v>2</v>
      </c>
      <c r="C58" s="3" t="s">
        <v>3</v>
      </c>
      <c r="D58" s="3" t="s">
        <v>23</v>
      </c>
      <c r="E58" s="3" t="s">
        <v>5</v>
      </c>
      <c r="F58" s="3" t="s">
        <v>6</v>
      </c>
      <c r="G58" s="78" t="s">
        <v>7</v>
      </c>
      <c r="H58" s="3" t="s">
        <v>70</v>
      </c>
      <c r="I58" s="3" t="s">
        <v>71</v>
      </c>
      <c r="J58" s="1" t="s">
        <v>72</v>
      </c>
    </row>
    <row r="59">
      <c r="A59" s="9"/>
      <c r="B59" s="9"/>
      <c r="C59" s="9"/>
      <c r="D59" s="9"/>
      <c r="E59" s="9"/>
      <c r="F59" s="9"/>
      <c r="G59" s="9"/>
      <c r="H59" s="9"/>
      <c r="I59" s="9"/>
    </row>
    <row r="60">
      <c r="A60" s="91">
        <v>1.0</v>
      </c>
      <c r="B60" s="91" t="str">
        <f t="array" ref="B60:B68">UNIQUE('Dự trù'!B60:B71)</f>
        <v>ME0202</v>
      </c>
      <c r="C60" s="91" t="str">
        <f>'Dự trù'!C60</f>
        <v>Gram Negative bacteria ID/AST</v>
      </c>
      <c r="D60" s="91" t="str">
        <f>'Dự trù'!D60</f>
        <v>Autobio Diagnostics Co., Ltd</v>
      </c>
      <c r="E60" s="91" t="str">
        <f>'Dự trù'!E60</f>
        <v>Hộp 20 test</v>
      </c>
      <c r="F60" s="91" t="str">
        <f>'Dự trù'!F60</f>
        <v>Hộp</v>
      </c>
      <c r="G60" s="83">
        <f>SUMIF('Dự trù'!B60:B70, B60, 'Dự trù'!J60:J70)</f>
        <v>0</v>
      </c>
      <c r="H60" s="114"/>
      <c r="I60" s="115">
        <f t="shared" ref="I60:I67" si="5">G60-H60</f>
        <v>0</v>
      </c>
    </row>
    <row r="61">
      <c r="A61" s="89"/>
      <c r="B61" s="112" t="s">
        <v>50</v>
      </c>
      <c r="C61" s="91" t="str">
        <f>'Dự trù'!C61</f>
        <v>Gram Positive bacteria ID/AST</v>
      </c>
      <c r="D61" s="91" t="str">
        <f>'Dự trù'!D61</f>
        <v>Autobio Diagnostics Co., Ltd</v>
      </c>
      <c r="E61" s="91" t="str">
        <f>'Dự trù'!E61</f>
        <v>Hộp 20 test</v>
      </c>
      <c r="F61" s="91" t="str">
        <f>'Dự trù'!F61</f>
        <v>Hộp</v>
      </c>
      <c r="G61" s="83">
        <f>SUMIF('Dự trù'!B61:B71, B61, 'Dự trù'!J61:J71)</f>
        <v>0</v>
      </c>
      <c r="H61" s="116"/>
      <c r="I61" s="115">
        <f t="shared" si="5"/>
        <v>0</v>
      </c>
      <c r="J61" s="118" t="s">
        <v>90</v>
      </c>
    </row>
    <row r="62">
      <c r="A62" s="89"/>
      <c r="B62" s="90" t="s">
        <v>59</v>
      </c>
      <c r="C62" s="91" t="str">
        <f>'Dự trù'!C62</f>
        <v>Fungus AST</v>
      </c>
      <c r="D62" s="91" t="str">
        <f>'Dự trù'!D62</f>
        <v>Autobio Diagnostics Co., Ltd</v>
      </c>
      <c r="E62" s="91" t="str">
        <f>'Dự trù'!E62</f>
        <v>Hộp 20 test</v>
      </c>
      <c r="F62" s="91" t="str">
        <f>'Dự trù'!F62</f>
        <v>Hộp</v>
      </c>
      <c r="G62" s="83">
        <f>SUMIF('Dự trù'!B62:B72, B62, 'Dự trù'!J62:J72)</f>
        <v>2</v>
      </c>
      <c r="H62" s="121">
        <v>2.0</v>
      </c>
      <c r="I62" s="115">
        <f t="shared" si="5"/>
        <v>0</v>
      </c>
    </row>
    <row r="63">
      <c r="A63" s="89"/>
      <c r="B63" s="90" t="s">
        <v>60</v>
      </c>
      <c r="C63" s="91" t="str">
        <f>'Dự trù'!C63</f>
        <v>Streptococcus AST</v>
      </c>
      <c r="D63" s="91" t="str">
        <f>'Dự trù'!D63</f>
        <v>Autobio Diagnostics Co., Ltd</v>
      </c>
      <c r="E63" s="91" t="str">
        <f>'Dự trù'!E63</f>
        <v>Hộp 20 test</v>
      </c>
      <c r="F63" s="91" t="str">
        <f>'Dự trù'!F63</f>
        <v>Hộp</v>
      </c>
      <c r="G63" s="83">
        <f>SUMIF('Dự trù'!B63:B72, B63, 'Dự trù'!J63:J72)</f>
        <v>3</v>
      </c>
      <c r="H63" s="121">
        <v>3.0</v>
      </c>
      <c r="I63" s="115">
        <f t="shared" si="5"/>
        <v>0</v>
      </c>
    </row>
    <row r="64">
      <c r="A64" s="89"/>
      <c r="B64" s="90" t="s">
        <v>61</v>
      </c>
      <c r="C64" s="91" t="str">
        <f>'Dự trù'!C64</f>
        <v>YEAST ID/AST</v>
      </c>
      <c r="D64" s="91" t="str">
        <f>'Dự trù'!D64</f>
        <v>Autobio Diagnostics Co., Ltd</v>
      </c>
      <c r="E64" s="91" t="str">
        <f>'Dự trù'!E64</f>
        <v>Hộp 20 test</v>
      </c>
      <c r="F64" s="91" t="str">
        <f>'Dự trù'!F64</f>
        <v>Hộp</v>
      </c>
      <c r="G64" s="83">
        <f>SUMIF('Dự trù'!B64:B72, B64, 'Dự trù'!J64:J72)</f>
        <v>3</v>
      </c>
      <c r="H64" s="121">
        <v>3.0</v>
      </c>
      <c r="I64" s="115">
        <f t="shared" si="5"/>
        <v>0</v>
      </c>
    </row>
    <row r="65">
      <c r="A65" s="89"/>
      <c r="B65" s="90" t="s">
        <v>63</v>
      </c>
      <c r="C65" s="91" t="str">
        <f>'Dự trù'!C65</f>
        <v>Gram-positive bacteria AST</v>
      </c>
      <c r="D65" s="91" t="str">
        <f>'Dự trù'!D65</f>
        <v>Autobio Diagnostics Co., Ltd</v>
      </c>
      <c r="E65" s="91" t="str">
        <f>'Dự trù'!E65</f>
        <v>Hộp 20 test</v>
      </c>
      <c r="F65" s="91" t="str">
        <f>'Dự trù'!F65</f>
        <v>Hộp</v>
      </c>
      <c r="G65" s="83">
        <f>SUMIF('Dự trù'!B65:B72, B65, 'Dự trù'!J65:J72)</f>
        <v>0</v>
      </c>
      <c r="H65" s="117"/>
      <c r="I65" s="115">
        <f t="shared" si="5"/>
        <v>0</v>
      </c>
    </row>
    <row r="66">
      <c r="A66" s="89"/>
      <c r="B66" s="90" t="s">
        <v>66</v>
      </c>
      <c r="C66" s="91" t="str">
        <f>'Dự trù'!C66</f>
        <v>Enterobacteriaceae AST</v>
      </c>
      <c r="D66" s="91" t="str">
        <f>'Dự trù'!D66</f>
        <v>Autobio Diagnostics Co., Ltd</v>
      </c>
      <c r="E66" s="91" t="str">
        <f>'Dự trù'!E66</f>
        <v>Hộp 20 test</v>
      </c>
      <c r="F66" s="91" t="str">
        <f>'Dự trù'!F66</f>
        <v>Hộp</v>
      </c>
      <c r="G66" s="83">
        <f>SUMIF('Dự trù'!B66:B72, B66, 'Dự trù'!J66:J72)</f>
        <v>38</v>
      </c>
      <c r="H66" s="121">
        <v>22.0</v>
      </c>
      <c r="I66" s="115">
        <f t="shared" si="5"/>
        <v>16</v>
      </c>
    </row>
    <row r="67">
      <c r="A67" s="83"/>
      <c r="B67" s="83" t="s">
        <v>67</v>
      </c>
      <c r="C67" s="91" t="str">
        <f>'Dự trù'!C67</f>
        <v>Non-fermenting bacteria AST</v>
      </c>
      <c r="D67" s="91" t="str">
        <f>'Dự trù'!D67</f>
        <v>Autobio Diagnostics Co., Ltd</v>
      </c>
      <c r="E67" s="91" t="str">
        <f>'Dự trù'!E67</f>
        <v>Hộp 20 test</v>
      </c>
      <c r="F67" s="91" t="str">
        <f>'Dự trù'!F67</f>
        <v>Hộp</v>
      </c>
      <c r="G67" s="83">
        <f>SUMIF('Dự trù'!B67:B72, B67, 'Dự trù'!J67:J72)</f>
        <v>46</v>
      </c>
      <c r="H67" s="121">
        <v>46.0</v>
      </c>
      <c r="I67" s="115">
        <f t="shared" si="5"/>
        <v>0</v>
      </c>
    </row>
    <row r="68">
      <c r="A68" s="92"/>
      <c r="B68" s="92"/>
      <c r="C68" s="92"/>
      <c r="D68" s="92"/>
      <c r="E68" s="92"/>
      <c r="F68" s="92"/>
      <c r="G68" s="92"/>
      <c r="H68" s="119"/>
      <c r="I68" s="119"/>
    </row>
    <row r="70">
      <c r="A70" s="75"/>
      <c r="B70" s="75"/>
      <c r="C70" s="75"/>
      <c r="D70" s="75"/>
      <c r="E70" s="75"/>
      <c r="F70" s="75"/>
      <c r="G70" s="75"/>
      <c r="H70" s="75"/>
      <c r="I70" s="75"/>
      <c r="J70" s="75"/>
    </row>
  </sheetData>
  <mergeCells count="49">
    <mergeCell ref="I2:I3"/>
    <mergeCell ref="J2:J3"/>
    <mergeCell ref="J5:J12"/>
    <mergeCell ref="A17:J17"/>
    <mergeCell ref="A18:A19"/>
    <mergeCell ref="B18:B19"/>
    <mergeCell ref="C18:C19"/>
    <mergeCell ref="J18:J19"/>
    <mergeCell ref="J36:J37"/>
    <mergeCell ref="K36:K37"/>
    <mergeCell ref="H18:H19"/>
    <mergeCell ref="I18:I19"/>
    <mergeCell ref="J21:J30"/>
    <mergeCell ref="A35:J35"/>
    <mergeCell ref="A36:A37"/>
    <mergeCell ref="B36:B37"/>
    <mergeCell ref="C36:C37"/>
    <mergeCell ref="F58:F59"/>
    <mergeCell ref="G58:G59"/>
    <mergeCell ref="H58:H59"/>
    <mergeCell ref="I58:I59"/>
    <mergeCell ref="H36:H37"/>
    <mergeCell ref="I36:I37"/>
    <mergeCell ref="J39:J46"/>
    <mergeCell ref="A57:J57"/>
    <mergeCell ref="A58:A59"/>
    <mergeCell ref="B58:B59"/>
    <mergeCell ref="C58:C59"/>
    <mergeCell ref="J58:J59"/>
    <mergeCell ref="G2:G3"/>
    <mergeCell ref="H2:H3"/>
    <mergeCell ref="A1:J1"/>
    <mergeCell ref="A2:A3"/>
    <mergeCell ref="B2:B3"/>
    <mergeCell ref="C2:C3"/>
    <mergeCell ref="D2:D3"/>
    <mergeCell ref="E2:E3"/>
    <mergeCell ref="F2:F3"/>
    <mergeCell ref="D18:D19"/>
    <mergeCell ref="E18:E19"/>
    <mergeCell ref="F18:F19"/>
    <mergeCell ref="G18:G19"/>
    <mergeCell ref="D36:D37"/>
    <mergeCell ref="E36:E37"/>
    <mergeCell ref="F36:F37"/>
    <mergeCell ref="G36:G37"/>
    <mergeCell ref="D58:D59"/>
    <mergeCell ref="E58:E59"/>
    <mergeCell ref="J61:J68"/>
  </mergeCells>
  <conditionalFormatting sqref="I4:I12 I20:I31 I38:I46 I60:I68">
    <cfRule type="cellIs" dxfId="1" priority="1" operator="greater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3"/>
      <c r="B1" s="134" t="s">
        <v>91</v>
      </c>
      <c r="C1" s="133"/>
      <c r="D1" s="133"/>
      <c r="E1" s="133"/>
      <c r="F1" s="133"/>
      <c r="G1" s="133"/>
      <c r="H1" s="133"/>
      <c r="I1" s="133"/>
      <c r="J1" s="133"/>
      <c r="K1" s="133"/>
      <c r="L1" s="133"/>
    </row>
    <row r="2">
      <c r="A2" s="133"/>
      <c r="B2" s="134" t="s">
        <v>92</v>
      </c>
      <c r="C2" s="133"/>
      <c r="D2" s="133"/>
      <c r="E2" s="133"/>
      <c r="F2" s="133"/>
      <c r="G2" s="133"/>
      <c r="H2" s="133"/>
      <c r="I2" s="133"/>
      <c r="J2" s="133"/>
      <c r="K2" s="133"/>
      <c r="L2" s="133"/>
    </row>
    <row r="3">
      <c r="A3" s="133"/>
      <c r="B3" s="134" t="s">
        <v>93</v>
      </c>
      <c r="C3" s="133"/>
      <c r="D3" s="133"/>
      <c r="E3" s="133"/>
      <c r="F3" s="133"/>
      <c r="G3" s="133"/>
      <c r="H3" s="133"/>
      <c r="I3" s="133"/>
      <c r="J3" s="133"/>
      <c r="K3" s="133"/>
      <c r="L3" s="133"/>
    </row>
    <row r="4">
      <c r="A4" s="133"/>
      <c r="B4" s="134" t="s">
        <v>94</v>
      </c>
      <c r="C4" s="133"/>
      <c r="D4" s="133"/>
      <c r="E4" s="133"/>
      <c r="F4" s="133"/>
      <c r="G4" s="133"/>
      <c r="H4" s="133"/>
      <c r="I4" s="133"/>
      <c r="J4" s="133"/>
      <c r="K4" s="133"/>
      <c r="L4" s="133"/>
    </row>
    <row r="5">
      <c r="A5" s="133"/>
      <c r="B5" s="134" t="s">
        <v>95</v>
      </c>
      <c r="C5" s="133"/>
      <c r="D5" s="133"/>
      <c r="E5" s="133"/>
      <c r="F5" s="133"/>
      <c r="G5" s="133"/>
      <c r="H5" s="133"/>
      <c r="I5" s="133"/>
      <c r="J5" s="133"/>
      <c r="K5" s="133"/>
      <c r="L5" s="133"/>
    </row>
    <row r="6">
      <c r="A6" s="133"/>
      <c r="B6" s="134" t="s">
        <v>96</v>
      </c>
      <c r="C6" s="133"/>
      <c r="D6" s="133"/>
      <c r="E6" s="133"/>
      <c r="F6" s="133"/>
      <c r="G6" s="133"/>
      <c r="H6" s="133"/>
      <c r="I6" s="133"/>
      <c r="J6" s="133"/>
      <c r="K6" s="133"/>
      <c r="L6" s="133"/>
    </row>
    <row r="7">
      <c r="A7" s="133"/>
      <c r="B7" s="134" t="s">
        <v>97</v>
      </c>
      <c r="C7" s="133"/>
      <c r="D7" s="133"/>
      <c r="E7" s="133"/>
      <c r="F7" s="133"/>
      <c r="G7" s="133"/>
      <c r="H7" s="133"/>
      <c r="I7" s="133"/>
      <c r="J7" s="133"/>
      <c r="K7" s="133"/>
      <c r="L7" s="133"/>
    </row>
    <row r="8">
      <c r="A8" s="133"/>
      <c r="B8" s="134" t="s">
        <v>98</v>
      </c>
      <c r="C8" s="133"/>
      <c r="D8" s="133"/>
      <c r="E8" s="133"/>
      <c r="F8" s="133"/>
      <c r="G8" s="133"/>
      <c r="H8" s="133"/>
      <c r="I8" s="133"/>
      <c r="J8" s="133"/>
      <c r="K8" s="133"/>
      <c r="L8" s="133"/>
    </row>
    <row r="9">
      <c r="A9" s="133"/>
      <c r="B9" s="135" t="s">
        <v>99</v>
      </c>
      <c r="C9" s="136"/>
      <c r="D9" s="136"/>
      <c r="E9" s="136"/>
      <c r="F9" s="136"/>
      <c r="G9" s="136"/>
      <c r="H9" s="136"/>
      <c r="I9" s="136"/>
      <c r="J9" s="136"/>
      <c r="K9" s="136"/>
      <c r="L9" s="136"/>
    </row>
    <row r="10">
      <c r="A10" s="137" t="s">
        <v>100</v>
      </c>
      <c r="B10" s="138" t="s">
        <v>101</v>
      </c>
      <c r="C10" s="138" t="s">
        <v>102</v>
      </c>
      <c r="D10" s="138" t="s">
        <v>103</v>
      </c>
      <c r="E10" s="138" t="s">
        <v>104</v>
      </c>
      <c r="F10" s="139" t="s">
        <v>105</v>
      </c>
      <c r="G10" s="139" t="s">
        <v>106</v>
      </c>
      <c r="H10" s="138" t="s">
        <v>107</v>
      </c>
      <c r="I10" s="138" t="s">
        <v>108</v>
      </c>
      <c r="J10" s="138" t="s">
        <v>109</v>
      </c>
      <c r="K10" s="139" t="s">
        <v>110</v>
      </c>
      <c r="L10" s="138" t="s">
        <v>111</v>
      </c>
    </row>
    <row r="11">
      <c r="A11" s="140" t="s">
        <v>112</v>
      </c>
      <c r="B11" s="140" t="s">
        <v>113</v>
      </c>
      <c r="C11" s="140" t="s">
        <v>114</v>
      </c>
      <c r="D11" s="140" t="s">
        <v>115</v>
      </c>
      <c r="E11" s="140" t="s">
        <v>116</v>
      </c>
      <c r="F11" s="141"/>
      <c r="G11" s="140" t="s">
        <v>117</v>
      </c>
      <c r="H11" s="140" t="s">
        <v>118</v>
      </c>
      <c r="I11" s="140" t="s">
        <v>119</v>
      </c>
      <c r="J11" s="142"/>
      <c r="K11" s="140" t="s">
        <v>120</v>
      </c>
      <c r="L11" s="140">
        <v>56.0</v>
      </c>
    </row>
    <row r="12">
      <c r="A12" s="143" t="s">
        <v>112</v>
      </c>
      <c r="B12" s="143" t="s">
        <v>121</v>
      </c>
      <c r="C12" s="143" t="s">
        <v>122</v>
      </c>
      <c r="D12" s="143" t="s">
        <v>123</v>
      </c>
      <c r="E12" s="143" t="s">
        <v>124</v>
      </c>
      <c r="F12" s="143" t="s">
        <v>125</v>
      </c>
      <c r="G12" s="143" t="s">
        <v>126</v>
      </c>
      <c r="H12" s="144">
        <v>46056.0</v>
      </c>
      <c r="I12" s="140"/>
      <c r="J12" s="142"/>
      <c r="K12" s="143" t="s">
        <v>127</v>
      </c>
      <c r="L12" s="143">
        <v>890.0</v>
      </c>
    </row>
    <row r="13">
      <c r="A13" s="143" t="s">
        <v>112</v>
      </c>
      <c r="B13" s="145" t="s">
        <v>128</v>
      </c>
      <c r="C13" s="143"/>
      <c r="D13" s="143" t="s">
        <v>129</v>
      </c>
      <c r="E13" s="143" t="s">
        <v>130</v>
      </c>
      <c r="F13" s="145" t="s">
        <v>131</v>
      </c>
      <c r="G13" s="143" t="s">
        <v>126</v>
      </c>
      <c r="H13" s="144">
        <v>46058.0</v>
      </c>
      <c r="I13" s="140"/>
      <c r="J13" s="142"/>
      <c r="K13" s="143" t="s">
        <v>132</v>
      </c>
      <c r="L13" s="143">
        <v>10.0</v>
      </c>
    </row>
    <row r="14">
      <c r="A14" s="143" t="s">
        <v>112</v>
      </c>
      <c r="B14" s="145" t="s">
        <v>133</v>
      </c>
      <c r="C14" s="143" t="s">
        <v>134</v>
      </c>
      <c r="D14" s="143"/>
      <c r="E14" s="143" t="s">
        <v>133</v>
      </c>
      <c r="F14" s="145"/>
      <c r="G14" s="143" t="s">
        <v>126</v>
      </c>
      <c r="H14" s="144">
        <v>46055.0</v>
      </c>
      <c r="I14" s="143" t="s">
        <v>135</v>
      </c>
      <c r="J14" s="142"/>
      <c r="K14" s="143"/>
      <c r="L14" s="143"/>
    </row>
    <row r="15">
      <c r="A15" s="146"/>
      <c r="F15" s="22"/>
    </row>
    <row r="16">
      <c r="G16" s="147"/>
    </row>
    <row r="19">
      <c r="F19" s="134"/>
    </row>
    <row r="20">
      <c r="F20" s="134"/>
    </row>
    <row r="21">
      <c r="F21" s="134"/>
    </row>
    <row r="22">
      <c r="F22" s="134"/>
    </row>
    <row r="23">
      <c r="F23" s="134"/>
    </row>
    <row r="24">
      <c r="F24" s="134"/>
    </row>
    <row r="25">
      <c r="F25" s="134"/>
    </row>
    <row r="26">
      <c r="F26" s="134"/>
    </row>
  </sheetData>
  <mergeCells count="1">
    <mergeCell ref="B9:L9"/>
  </mergeCells>
  <dataValidations>
    <dataValidation type="list" allowBlank="1" showErrorMessage="1" sqref="A11:A14">
      <formula1>"Đang đặt hàng,Đã chuyển tiền,Đóng gói,Đang tìm vận chuyển,Cảng phía nhà cc,Check bill nháp,Final bill,In Transit,KHO NB,Kho Định Công"</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8" t="s">
        <v>136</v>
      </c>
    </row>
  </sheetData>
  <mergeCells count="1">
    <mergeCell ref="A1:D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25"/>
  </cols>
  <sheetData>
    <row r="2">
      <c r="A2" s="3" t="s">
        <v>137</v>
      </c>
      <c r="B2" s="3" t="s">
        <v>138</v>
      </c>
      <c r="C2" s="3" t="s">
        <v>139</v>
      </c>
      <c r="D2" s="3" t="s">
        <v>140</v>
      </c>
      <c r="E2" s="3" t="s">
        <v>141</v>
      </c>
      <c r="F2" s="149" t="s">
        <v>142</v>
      </c>
      <c r="G2" s="5"/>
      <c r="H2" s="5"/>
      <c r="I2" s="6"/>
    </row>
    <row r="3">
      <c r="A3" s="9"/>
      <c r="B3" s="9"/>
      <c r="C3" s="9"/>
      <c r="D3" s="9"/>
      <c r="E3" s="9"/>
      <c r="F3" s="150" t="s">
        <v>143</v>
      </c>
      <c r="G3" s="150" t="s">
        <v>144</v>
      </c>
      <c r="H3" s="150" t="s">
        <v>145</v>
      </c>
      <c r="I3" s="151" t="s">
        <v>146</v>
      </c>
    </row>
    <row r="4">
      <c r="A4" s="147"/>
      <c r="B4" s="147"/>
      <c r="C4" s="147"/>
      <c r="D4" s="147"/>
      <c r="E4" s="147"/>
      <c r="F4" s="152"/>
      <c r="G4" s="152"/>
      <c r="H4" s="152"/>
      <c r="I4" s="153"/>
    </row>
    <row r="5">
      <c r="A5" s="147"/>
      <c r="B5" s="147"/>
      <c r="C5" s="147"/>
      <c r="D5" s="147"/>
      <c r="E5" s="147"/>
      <c r="F5" s="152"/>
      <c r="G5" s="152"/>
      <c r="H5" s="152"/>
      <c r="I5" s="153"/>
    </row>
    <row r="6">
      <c r="A6" s="147"/>
      <c r="B6" s="147"/>
      <c r="C6" s="147"/>
      <c r="D6" s="147"/>
      <c r="E6" s="147"/>
      <c r="F6" s="152"/>
      <c r="G6" s="152"/>
      <c r="H6" s="152"/>
      <c r="I6" s="153"/>
    </row>
    <row r="7">
      <c r="A7" s="147"/>
      <c r="B7" s="147"/>
      <c r="C7" s="147"/>
      <c r="D7" s="147"/>
      <c r="E7" s="147"/>
      <c r="F7" s="152"/>
      <c r="G7" s="152"/>
      <c r="H7" s="152"/>
      <c r="I7" s="153"/>
    </row>
    <row r="8">
      <c r="A8" s="147"/>
      <c r="B8" s="147"/>
      <c r="C8" s="147"/>
      <c r="D8" s="147"/>
      <c r="E8" s="147"/>
      <c r="F8" s="152"/>
      <c r="G8" s="152"/>
      <c r="H8" s="152"/>
      <c r="I8" s="153"/>
    </row>
    <row r="9">
      <c r="A9" s="147"/>
      <c r="B9" s="147"/>
      <c r="C9" s="147"/>
      <c r="D9" s="147"/>
      <c r="E9" s="147"/>
      <c r="F9" s="152"/>
      <c r="G9" s="152"/>
      <c r="H9" s="152"/>
      <c r="I9" s="153"/>
    </row>
    <row r="10">
      <c r="A10" s="147"/>
      <c r="B10" s="147"/>
      <c r="C10" s="147"/>
      <c r="D10" s="147"/>
      <c r="E10" s="147"/>
      <c r="F10" s="152"/>
      <c r="G10" s="152"/>
      <c r="H10" s="152"/>
      <c r="I10" s="153"/>
    </row>
    <row r="11">
      <c r="A11" s="147"/>
      <c r="B11" s="147"/>
      <c r="C11" s="147"/>
      <c r="D11" s="147"/>
      <c r="E11" s="147"/>
      <c r="F11" s="152"/>
      <c r="G11" s="152"/>
      <c r="H11" s="152"/>
      <c r="I11" s="153"/>
    </row>
    <row r="12">
      <c r="A12" s="147"/>
      <c r="B12" s="147"/>
      <c r="C12" s="147"/>
      <c r="D12" s="147"/>
      <c r="E12" s="147"/>
      <c r="F12" s="152"/>
      <c r="G12" s="152"/>
      <c r="H12" s="152"/>
      <c r="I12" s="153"/>
    </row>
    <row r="13">
      <c r="A13" s="147"/>
      <c r="B13" s="147"/>
      <c r="C13" s="147"/>
      <c r="D13" s="147"/>
      <c r="E13" s="147"/>
      <c r="F13" s="152"/>
      <c r="G13" s="152"/>
      <c r="H13" s="152"/>
      <c r="I13" s="153"/>
    </row>
    <row r="14">
      <c r="A14" s="147"/>
      <c r="B14" s="147"/>
      <c r="C14" s="147"/>
      <c r="D14" s="147"/>
      <c r="E14" s="147"/>
      <c r="F14" s="152"/>
      <c r="G14" s="152"/>
      <c r="H14" s="152"/>
      <c r="I14" s="153"/>
    </row>
  </sheetData>
  <mergeCells count="6">
    <mergeCell ref="A2:A3"/>
    <mergeCell ref="B2:B3"/>
    <mergeCell ref="C2:C3"/>
    <mergeCell ref="D2:D3"/>
    <mergeCell ref="E2:E3"/>
    <mergeCell ref="F2:I2"/>
  </mergeCells>
  <dataValidations>
    <dataValidation type="list" allowBlank="1" showErrorMessage="1" sqref="F4">
      <formula1>"nhanh,bình thường,chậm"</formula1>
    </dataValidation>
    <dataValidation type="list" allowBlank="1" showErrorMessage="1" sqref="E4">
      <formula1>"Nhập khẩu đường bộ,Nhập khẩu đường air,Nhập khẩu đường sea,Hà Nội - Thanh Hóa,Hà Nội - HCM,Thanh Hóa - HCM"</formula1>
    </dataValidation>
    <dataValidation type="list" allowBlank="1" showErrorMessage="1" sqref="H4">
      <formula1>"chấp nhận được,không chấp nhận được"</formula1>
    </dataValidation>
    <dataValidation type="list" allowBlank="1" showErrorMessage="1" sqref="D4">
      <formula1>"Có,Không"</formula1>
    </dataValidation>
    <dataValidation type="list" allowBlank="1" showErrorMessage="1" sqref="I4">
      <formula1>"Rất phù hợp,Phù hợp,Hơi phù hợp,Không phù hợp"</formula1>
    </dataValidation>
  </dataValidations>
  <drawing r:id="rId1"/>
</worksheet>
</file>